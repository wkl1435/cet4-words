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进度看板" sheetId="2" state="visible" r:id="rId2"/>
    <sheet xmlns:r="http://schemas.openxmlformats.org/officeDocument/2006/relationships" name="每日打卡" sheetId="3" state="visible" r:id="rId3"/>
    <sheet xmlns:r="http://schemas.openxmlformats.org/officeDocument/2006/relationships" name="周测记录" sheetId="4" state="visible" r:id="rId4"/>
    <sheet xmlns:r="http://schemas.openxmlformats.org/officeDocument/2006/relationships" name="错词本" sheetId="5" state="visible" r:id="rId5"/>
    <sheet xmlns:r="http://schemas.openxmlformats.org/officeDocument/2006/relationships" name="七周地图" sheetId="6" state="visible" r:id="rId6"/>
  </sheets>
  <definedNames>
    <definedName name="_xlnm._FilterDatabase" localSheetId="2" hidden="1">'每日打卡'!$A$1:$L$50</definedName>
    <definedName name="_xlnm.Print_Titles" localSheetId="2">'每日打卡'!$1:$1</definedName>
    <definedName name="_xlnm._FilterDatabase" localSheetId="4" hidden="1">'错词本'!$A$1:$G$121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-dd"/>
    <numFmt numFmtId="166" formatCode="0&quot;天&quot;"/>
  </numFmts>
  <fonts count="11">
    <font>
      <name val="Calibri"/>
      <family val="2"/>
      <color theme="1"/>
      <sz val="11"/>
      <scheme val="minor"/>
    </font>
    <font>
      <name val="微软雅黑"/>
      <b val="1"/>
      <color rgb="001F3864"/>
      <sz val="20"/>
    </font>
    <font>
      <name val="等线"/>
      <color rgb="00595959"/>
      <sz val="11"/>
    </font>
    <font>
      <name val="微软雅黑"/>
      <b val="1"/>
      <color rgb="002E5A88"/>
      <sz val="11"/>
    </font>
    <font>
      <name val="等线"/>
      <sz val="11"/>
    </font>
    <font>
      <name val="微软雅黑"/>
      <b val="1"/>
      <color rgb="00FFFFFF"/>
      <sz val="10"/>
    </font>
    <font>
      <name val="等线"/>
      <sz val="10"/>
    </font>
    <font>
      <name val="微软雅黑"/>
      <b val="1"/>
      <color rgb="001F3864"/>
      <sz val="18"/>
    </font>
    <font>
      <name val="等线"/>
      <b val="1"/>
      <sz val="12"/>
    </font>
    <font>
      <name val="等线"/>
      <color rgb="00595959"/>
      <sz val="10"/>
    </font>
    <font>
      <name val="微软雅黑"/>
      <b val="1"/>
      <color rgb="001F3864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5F8FC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D9E2F3"/>
      </patternFill>
    </fill>
    <fill>
      <patternFill patternType="solid">
        <fgColor rgb="00FFF7E6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center"/>
    </xf>
    <xf numFmtId="0" fontId="3" fillId="7" borderId="1" pivotButton="0" quotePrefix="0" xfId="0"/>
    <xf numFmtId="166" fontId="8" fillId="0" borderId="1" applyAlignment="1" pivotButton="0" quotePrefix="0" xfId="0">
      <alignment horizontal="center"/>
    </xf>
    <xf numFmtId="0" fontId="9" fillId="0" borderId="1" pivotButton="0" quotePrefix="0" xfId="0"/>
    <xf numFmtId="1" fontId="8" fillId="0" borderId="1" applyAlignment="1" pivotButton="0" quotePrefix="0" xfId="0">
      <alignment horizontal="center"/>
    </xf>
    <xf numFmtId="9" fontId="8" fillId="0" borderId="1" applyAlignment="1" pivotButton="0" quotePrefix="0" xfId="0">
      <alignment horizontal="center"/>
    </xf>
    <xf numFmtId="1" fontId="8" fillId="3" borderId="1" applyAlignment="1" pivotButton="0" quotePrefix="0" xfId="0">
      <alignment horizontal="center"/>
    </xf>
    <xf numFmtId="0" fontId="10" fillId="0" borderId="0" pivotButton="0" quotePrefix="0" xfId="0"/>
    <xf numFmtId="0" fontId="4" fillId="8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center" vertical="center"/>
    </xf>
    <xf numFmtId="9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C11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78" customWidth="1" min="3" max="3"/>
  </cols>
  <sheetData>
    <row r="1" ht="34" customHeight="1">
      <c r="B1" s="1" t="inlineStr">
        <is>
          <t>四级词汇 · 7 周复习打卡表</t>
        </is>
      </c>
    </row>
    <row r="2">
      <c r="B2" s="2" t="inlineStr">
        <is>
          <t>2026-10-23 开始　·　12-12 考试　·　共 49 个学习日</t>
        </is>
      </c>
    </row>
    <row r="4" ht="28" customHeight="1">
      <c r="B4" s="3" t="inlineStr">
        <is>
          <t>怎么用</t>
        </is>
      </c>
      <c r="C4" s="4" t="inlineStr">
        <is>
          <t>只填黄色格子：正确率、复习✓、错词数。日期已按日程排好，不用改。</t>
        </is>
      </c>
    </row>
    <row r="5" ht="28" customHeight="1">
      <c r="B5" s="3" t="inlineStr">
        <is>
          <t>每天必填</t>
        </is>
      </c>
      <c r="C5" s="4" t="inlineStr">
        <is>
          <t>① 遮中文正确率　② 遮英文正确率　③ 复习打 ✓　④ 错词数</t>
        </is>
      </c>
    </row>
    <row r="6" ht="28" customHeight="1">
      <c r="B6" s="3" t="inlineStr">
        <is>
          <t>正确率</t>
        </is>
      </c>
      <c r="C6" s="4" t="inlineStr">
        <is>
          <t>填 0.82 或 82% 均可。低于 70% 自动变红，说明这批词要重背。</t>
        </is>
      </c>
    </row>
    <row r="7" ht="28" customHeight="1">
      <c r="B7" s="3" t="inlineStr">
        <is>
          <t>复习批次</t>
        </is>
      </c>
      <c r="C7" s="4" t="inlineStr">
        <is>
          <t>最后一列按 1/2/4/7/15 天规则算好，照着复习，不用自己数。</t>
        </is>
      </c>
    </row>
    <row r="8" ht="28" customHeight="1">
      <c r="B8" s="3" t="inlineStr">
        <is>
          <t>周测记录</t>
        </is>
      </c>
      <c r="C8" s="4" t="inlineStr">
        <is>
          <t>每周日填一行，结论自动判定达标与否。不达标按计划第 5 节降速。</t>
        </is>
      </c>
    </row>
    <row r="9" ht="28" customHeight="1">
      <c r="B9" s="3" t="inlineStr">
        <is>
          <t>错词本</t>
        </is>
      </c>
      <c r="C9" s="4" t="inlineStr">
        <is>
          <t>连续答对次数填到 3，状态自动变「已掌握」，之后只复盘没掌握的。</t>
        </is>
      </c>
    </row>
    <row r="10" ht="28" customHeight="1">
      <c r="B10" s="3" t="inlineStr">
        <is>
          <t>进度看板</t>
        </is>
      </c>
      <c r="C10" s="4" t="inlineStr">
        <is>
          <t>自动汇总完成率、平均正确率、倒计时，并给一句节奏建议。</t>
        </is>
      </c>
    </row>
    <row r="11" ht="28" customHeight="1">
      <c r="B11" s="3" t="inlineStr">
        <is>
          <t>红线</t>
        </is>
      </c>
      <c r="C11" s="4" t="inlineStr">
        <is>
          <t>新词可以减量，复习不能跳。状态差就做「40 分钟保底版」。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52" customWidth="1" min="3" max="3"/>
  </cols>
  <sheetData>
    <row r="1" ht="34" customHeight="1">
      <c r="A1" s="5" t="inlineStr">
        <is>
          <t>复习进度看板</t>
        </is>
      </c>
    </row>
    <row r="2">
      <c r="A2" s="6" t="inlineStr">
        <is>
          <t>距考试还剩</t>
        </is>
      </c>
      <c r="B2" s="7">
        <f>DATE(2026,12,12)-TODAY()</f>
        <v/>
      </c>
      <c r="C2" s="8" t="inlineStr">
        <is>
          <t>12-12 考试</t>
        </is>
      </c>
    </row>
    <row r="3">
      <c r="A3" s="6" t="inlineStr">
        <is>
          <t>已完成天数</t>
        </is>
      </c>
      <c r="B3" s="9">
        <f>COUNT('每日打卡'!F2:F50)</f>
        <v/>
      </c>
      <c r="C3" s="8" t="inlineStr">
        <is>
          <t>共 49 个学习日</t>
        </is>
      </c>
    </row>
    <row r="4">
      <c r="A4" s="6" t="inlineStr">
        <is>
          <t>完成率</t>
        </is>
      </c>
      <c r="B4" s="10">
        <f>B3/49</f>
        <v/>
      </c>
      <c r="C4" s="8" t="inlineStr">
        <is>
          <t>按填写正确率的天数计算</t>
        </is>
      </c>
    </row>
    <row r="5">
      <c r="A5" s="6" t="inlineStr">
        <is>
          <t>累计新词</t>
        </is>
      </c>
      <c r="B5" s="9">
        <f>SUM('每日打卡'!D2:D50)</f>
        <v/>
      </c>
      <c r="C5" s="8" t="inlineStr">
        <is>
          <t>计划合计约 1800 词次</t>
        </is>
      </c>
    </row>
    <row r="6">
      <c r="A6" s="6" t="inlineStr">
        <is>
          <t>词汇目标</t>
        </is>
      </c>
      <c r="B6" s="9" t="n">
        <v>1600</v>
      </c>
      <c r="C6" s="8" t="inlineStr">
        <is>
          <t>去重后的核心词条数</t>
        </is>
      </c>
    </row>
    <row r="7">
      <c r="A7" s="6" t="inlineStr">
        <is>
          <t>目标完成率</t>
        </is>
      </c>
      <c r="B7" s="10">
        <f>IFERROR(B5/B6,0)</f>
        <v/>
      </c>
      <c r="C7" s="8" t="inlineStr">
        <is>
          <t>累计新词 / 1600</t>
        </is>
      </c>
    </row>
    <row r="8">
      <c r="A8" s="6" t="inlineStr">
        <is>
          <t>平均遮中文</t>
        </is>
      </c>
      <c r="B8" s="10">
        <f>IFERROR(AVERAGE('每日打卡'!F2:F50),0)</f>
        <v/>
      </c>
      <c r="C8" s="8" t="inlineStr">
        <is>
          <t>低于 75% 说明背得太快</t>
        </is>
      </c>
    </row>
    <row r="9">
      <c r="A9" s="6" t="inlineStr">
        <is>
          <t>平均遮英文</t>
        </is>
      </c>
      <c r="B9" s="10">
        <f>IFERROR(AVERAGE('每日打卡'!G2:G50),0)</f>
        <v/>
      </c>
      <c r="C9" s="8" t="inlineStr">
        <is>
          <t>低于 60% 说明拼写不牢</t>
        </is>
      </c>
    </row>
    <row r="10">
      <c r="A10" s="6" t="inlineStr">
        <is>
          <t>累计错词</t>
        </is>
      </c>
      <c r="B10" s="9">
        <f>SUM('每日打卡'!I2:I50)</f>
        <v/>
      </c>
      <c r="C10" s="8" t="inlineStr">
        <is>
          <t>错词本应同步录入</t>
        </is>
      </c>
    </row>
    <row r="11">
      <c r="A11" s="6" t="inlineStr">
        <is>
          <t>周测达标次数</t>
        </is>
      </c>
      <c r="B11" s="9">
        <f>COUNTIF('周测记录'!G2:G8,"达标")</f>
        <v/>
      </c>
      <c r="C11" s="8" t="inlineStr">
        <is>
          <t>共 7 次</t>
        </is>
      </c>
    </row>
    <row r="12">
      <c r="A12" s="6" t="inlineStr">
        <is>
          <t>错词本已掌握</t>
        </is>
      </c>
      <c r="B12" s="9">
        <f>COUNTIF('错词本'!G2:G121,"已掌握")</f>
        <v/>
      </c>
      <c r="C12" s="8" t="inlineStr">
        <is>
          <t>连续答对 3 次自动计入</t>
        </is>
      </c>
    </row>
    <row r="13">
      <c r="A13" s="6" t="inlineStr">
        <is>
          <t>错词本待攻克</t>
        </is>
      </c>
      <c r="B13" s="9">
        <f>COUNTIF('错词本'!G2:G121,"新错词")</f>
        <v/>
      </c>
      <c r="C13" s="8" t="inlineStr">
        <is>
          <t>考前最后要看的东西</t>
        </is>
      </c>
    </row>
    <row r="14">
      <c r="A14" s="6" t="inlineStr">
        <is>
          <t>模考一</t>
        </is>
      </c>
      <c r="B14" s="11" t="n"/>
      <c r="C14" s="8" t="inlineStr">
        <is>
          <t>11-27　阅读 + 听力</t>
        </is>
      </c>
    </row>
    <row r="15">
      <c r="A15" s="6" t="inlineStr">
        <is>
          <t>模考二</t>
        </is>
      </c>
      <c r="B15" s="11" t="n"/>
      <c r="C15" s="8" t="inlineStr">
        <is>
          <t>12-05　全套含写作</t>
        </is>
      </c>
    </row>
    <row r="16">
      <c r="A16" s="6" t="inlineStr">
        <is>
          <t>模考三</t>
        </is>
      </c>
      <c r="B16" s="11" t="n"/>
      <c r="C16" s="8" t="inlineStr">
        <is>
          <t>12-10　全真计时</t>
        </is>
      </c>
    </row>
    <row r="18">
      <c r="A18" s="12" t="inlineStr">
        <is>
          <t>节奏建议</t>
        </is>
      </c>
      <c r="B18" s="13">
        <f>IF(B2&lt;=0,"考试已结束",IF(B3=0,"还没开始，从 D1 的 52 个词起步",IF(B4&lt;0.3,"进度偏慢：先保复习，新词减到 35/天",IF(B8&lt;0.75,"正确率偏低：新词降到 40，复习加 15 分钟",IF(B13&gt;60,"错词积压：停一天新课，全天清错词本","节奏正常，按表推进")))))</f>
        <v/>
      </c>
    </row>
  </sheetData>
  <mergeCells count="2">
    <mergeCell ref="A1:C1"/>
    <mergeCell ref="B18:C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L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40" customWidth="1" min="3" max="3"/>
    <col width="8" customWidth="1" min="4" max="4"/>
    <col width="12" customWidth="1" min="5" max="5"/>
    <col width="10" customWidth="1" min="6" max="6"/>
    <col width="10" customWidth="1" min="7" max="7"/>
    <col width="8" customWidth="1" min="8" max="8"/>
    <col width="8" customWidth="1" min="9" max="9"/>
    <col width="28" customWidth="1" min="10" max="10"/>
    <col width="9" customWidth="1" min="11" max="11"/>
    <col width="24" customWidth="1" min="12" max="12"/>
  </cols>
  <sheetData>
    <row r="1" ht="30" customHeight="1">
      <c r="A1" s="14" t="inlineStr">
        <is>
          <t>天</t>
        </is>
      </c>
      <c r="B1" s="14" t="inlineStr">
        <is>
          <t>周次</t>
        </is>
      </c>
      <c r="C1" s="14" t="inlineStr">
        <is>
          <t>计划内容</t>
        </is>
      </c>
      <c r="D1" s="14" t="inlineStr">
        <is>
          <t>新词数</t>
        </is>
      </c>
      <c r="E1" s="14" t="inlineStr">
        <is>
          <t>日期</t>
        </is>
      </c>
      <c r="F1" s="14" t="inlineStr">
        <is>
          <t>遮中文%</t>
        </is>
      </c>
      <c r="G1" s="14" t="inlineStr">
        <is>
          <t>遮英文%</t>
        </is>
      </c>
      <c r="H1" s="14" t="inlineStr">
        <is>
          <t>复习✓</t>
        </is>
      </c>
      <c r="I1" s="14" t="inlineStr">
        <is>
          <t>错词数</t>
        </is>
      </c>
      <c r="J1" s="14" t="inlineStr">
        <is>
          <t>当日重点</t>
        </is>
      </c>
      <c r="K1" s="14" t="inlineStr">
        <is>
          <t>完成度</t>
        </is>
      </c>
      <c r="L1" s="14" t="inlineStr">
        <is>
          <t>复习批次</t>
        </is>
      </c>
    </row>
    <row r="2">
      <c r="A2" s="15" t="inlineStr">
        <is>
          <t>D1</t>
        </is>
      </c>
      <c r="B2" s="15" t="n">
        <v>1</v>
      </c>
      <c r="C2" s="16" t="inlineStr">
        <is>
          <t>第13章 饮食、消费与生活</t>
        </is>
      </c>
      <c r="D2" s="15" t="n">
        <v>52</v>
      </c>
      <c r="E2" s="17" t="n">
        <v>46318</v>
      </c>
      <c r="F2" s="18" t="n"/>
      <c r="G2" s="18" t="n"/>
      <c r="H2" s="19" t="n"/>
      <c r="I2" s="19" t="n"/>
      <c r="J2" s="16" t="inlineStr">
        <is>
          <t>从最熟的场景起步</t>
        </is>
      </c>
      <c r="K2" s="20">
        <f>IF(COUNTA(F2:J2)=0,"",COUNTA(F2:J2)/5)</f>
        <v/>
      </c>
      <c r="L2" s="15" t="inlineStr">
        <is>
          <t>—</t>
        </is>
      </c>
    </row>
    <row r="3">
      <c r="A3" s="15" t="inlineStr">
        <is>
          <t>D2</t>
        </is>
      </c>
      <c r="B3" s="15" t="n">
        <v>1</v>
      </c>
      <c r="C3" s="16" t="inlineStr">
        <is>
          <t>第1章 校园与学习（前56）</t>
        </is>
      </c>
      <c r="D3" s="15" t="n">
        <v>56</v>
      </c>
      <c r="E3" s="17" t="n">
        <v>46319</v>
      </c>
      <c r="F3" s="18" t="n"/>
      <c r="G3" s="18" t="n"/>
      <c r="H3" s="19" t="n"/>
      <c r="I3" s="19" t="n"/>
      <c r="J3" s="16" t="inlineStr">
        <is>
          <t>建立“我能背下来”的感觉</t>
        </is>
      </c>
      <c r="K3" s="20">
        <f>IF(COUNTA(F3:J3)=0,"",COUNTA(F3:J3)/5)</f>
        <v/>
      </c>
      <c r="L3" s="15" t="inlineStr">
        <is>
          <t>D1</t>
        </is>
      </c>
    </row>
    <row r="4">
      <c r="A4" s="15" t="inlineStr">
        <is>
          <t>D3</t>
        </is>
      </c>
      <c r="B4" s="15" t="n">
        <v>1</v>
      </c>
      <c r="C4" s="16" t="inlineStr">
        <is>
          <t>第1章 校园与学习（后56）</t>
        </is>
      </c>
      <c r="D4" s="15" t="n">
        <v>56</v>
      </c>
      <c r="E4" s="17" t="n">
        <v>46320</v>
      </c>
      <c r="F4" s="18" t="n"/>
      <c r="G4" s="18" t="n"/>
      <c r="H4" s="19" t="n"/>
      <c r="I4" s="19" t="n"/>
      <c r="J4" s="16" t="inlineStr">
        <is>
          <t>串起四个小节的记忆链</t>
        </is>
      </c>
      <c r="K4" s="20">
        <f>IF(COUNTA(F4:J4)=0,"",COUNTA(F4:J4)/5)</f>
        <v/>
      </c>
      <c r="L4" s="15" t="inlineStr">
        <is>
          <t>D1、D2</t>
        </is>
      </c>
    </row>
    <row r="5">
      <c r="A5" s="15" t="inlineStr">
        <is>
          <t>D4</t>
        </is>
      </c>
      <c r="B5" s="15" t="n">
        <v>1</v>
      </c>
      <c r="C5" s="16" t="inlineStr">
        <is>
          <t>第2章 工作与职业</t>
        </is>
      </c>
      <c r="D5" s="15" t="n">
        <v>68</v>
      </c>
      <c r="E5" s="17" t="n">
        <v>46321</v>
      </c>
      <c r="F5" s="18" t="n"/>
      <c r="G5" s="18" t="n"/>
      <c r="H5" s="19" t="n"/>
      <c r="I5" s="19" t="n"/>
      <c r="J5" s="16" t="inlineStr">
        <is>
          <t>salary/wage/fee/fare 四个“费”</t>
        </is>
      </c>
      <c r="K5" s="20">
        <f>IF(COUNTA(F5:J5)=0,"",COUNTA(F5:J5)/5)</f>
        <v/>
      </c>
      <c r="L5" s="15" t="inlineStr">
        <is>
          <t>D2、D3</t>
        </is>
      </c>
    </row>
    <row r="6">
      <c r="A6" s="15" t="inlineStr">
        <is>
          <t>D5</t>
        </is>
      </c>
      <c r="B6" s="15" t="n">
        <v>1</v>
      </c>
      <c r="C6" s="16" t="inlineStr">
        <is>
          <t>第10章 交通、城市与住房</t>
        </is>
      </c>
      <c r="D6" s="15" t="n">
        <v>67</v>
      </c>
      <c r="E6" s="17" t="n">
        <v>46322</v>
      </c>
      <c r="F6" s="18" t="n"/>
      <c r="G6" s="18" t="n"/>
      <c r="H6" s="19" t="n"/>
      <c r="I6" s="19" t="n"/>
      <c r="J6" s="16" t="inlineStr">
        <is>
          <t>听力租房场景词优先</t>
        </is>
      </c>
      <c r="K6" s="20">
        <f>IF(COUNTA(F6:J6)=0,"",COUNTA(F6:J6)/5)</f>
        <v/>
      </c>
      <c r="L6" s="15" t="inlineStr">
        <is>
          <t>D1、D3、D4</t>
        </is>
      </c>
    </row>
    <row r="7">
      <c r="A7" s="15" t="inlineStr">
        <is>
          <t>D6</t>
        </is>
      </c>
      <c r="B7" s="15" t="n">
        <v>1</v>
      </c>
      <c r="C7" s="16" t="inlineStr">
        <is>
          <t>第5章 环境与自然</t>
        </is>
      </c>
      <c r="D7" s="15" t="n">
        <v>63</v>
      </c>
      <c r="E7" s="17" t="n">
        <v>46323</v>
      </c>
      <c r="F7" s="18" t="n"/>
      <c r="G7" s="18" t="n"/>
      <c r="H7" s="19" t="n"/>
      <c r="I7" s="19" t="n"/>
      <c r="J7" s="16" t="inlineStr">
        <is>
          <t>环保四段式词块</t>
        </is>
      </c>
      <c r="K7" s="20">
        <f>IF(COUNTA(F7:J7)=0,"",COUNTA(F7:J7)/5)</f>
        <v/>
      </c>
      <c r="L7" s="15" t="inlineStr">
        <is>
          <t>D2、D4、D5</t>
        </is>
      </c>
    </row>
    <row r="8">
      <c r="A8" s="15" t="inlineStr">
        <is>
          <t>D7</t>
        </is>
      </c>
      <c r="B8" s="15" t="n">
        <v>1</v>
      </c>
      <c r="C8" s="16" t="inlineStr">
        <is>
          <t>周测（第1周）+ 补漏</t>
        </is>
      </c>
      <c r="D8" s="15" t="n">
        <v>0</v>
      </c>
      <c r="E8" s="17" t="n">
        <v>46324</v>
      </c>
      <c r="F8" s="18" t="n"/>
      <c r="G8" s="18" t="n"/>
      <c r="H8" s="19" t="n"/>
      <c r="I8" s="19" t="n"/>
      <c r="J8" s="16" t="inlineStr">
        <is>
          <t>抽60词，70%为线</t>
        </is>
      </c>
      <c r="K8" s="20">
        <f>IF(COUNTA(F8:J8)=0,"",COUNTA(F8:J8)/5)</f>
        <v/>
      </c>
      <c r="L8" s="15" t="inlineStr">
        <is>
          <t>D3、D5、D6</t>
        </is>
      </c>
    </row>
    <row r="9">
      <c r="A9" s="21" t="inlineStr">
        <is>
          <t>D8</t>
        </is>
      </c>
      <c r="B9" s="21" t="n">
        <v>2</v>
      </c>
      <c r="C9" s="22" t="inlineStr">
        <is>
          <t>第6章 健康与医疗</t>
        </is>
      </c>
      <c r="D9" s="21" t="n">
        <v>70</v>
      </c>
      <c r="E9" s="23" t="n">
        <v>46325</v>
      </c>
      <c r="F9" s="18" t="n"/>
      <c r="G9" s="18" t="n"/>
      <c r="H9" s="19" t="n"/>
      <c r="I9" s="19" t="n"/>
      <c r="J9" s="22" t="inlineStr">
        <is>
          <t>cure/treat/heal 分清</t>
        </is>
      </c>
      <c r="K9" s="24">
        <f>IF(COUNTA(F9:J9)=0,"",COUNTA(F9:J9)/5)</f>
        <v/>
      </c>
      <c r="L9" s="21" t="inlineStr">
        <is>
          <t>D1、D4、D6、D7</t>
        </is>
      </c>
    </row>
    <row r="10">
      <c r="A10" s="21" t="inlineStr">
        <is>
          <t>D9</t>
        </is>
      </c>
      <c r="B10" s="21" t="n">
        <v>2</v>
      </c>
      <c r="C10" s="22" t="inlineStr">
        <is>
          <t>第9章 人际与沟通</t>
        </is>
      </c>
      <c r="D10" s="21" t="n">
        <v>76</v>
      </c>
      <c r="E10" s="23" t="n">
        <v>46326</v>
      </c>
      <c r="F10" s="18" t="n"/>
      <c r="G10" s="18" t="n"/>
      <c r="H10" s="19" t="n"/>
      <c r="I10" s="19" t="n"/>
      <c r="J10" s="22" t="inlineStr">
        <is>
          <t>ignore/neglect 态度词</t>
        </is>
      </c>
      <c r="K10" s="24">
        <f>IF(COUNTA(F10:J10)=0,"",COUNTA(F10:J10)/5)</f>
        <v/>
      </c>
      <c r="L10" s="21" t="inlineStr">
        <is>
          <t>D2、D5、D7、D8</t>
        </is>
      </c>
    </row>
    <row r="11">
      <c r="A11" s="21" t="inlineStr">
        <is>
          <t>D10</t>
        </is>
      </c>
      <c r="B11" s="21" t="n">
        <v>2</v>
      </c>
      <c r="C11" s="22" t="inlineStr">
        <is>
          <t>第3章 经济与商业</t>
        </is>
      </c>
      <c r="D11" s="21" t="n">
        <v>88</v>
      </c>
      <c r="E11" s="23" t="n">
        <v>46327</v>
      </c>
      <c r="F11" s="18" t="n"/>
      <c r="G11" s="18" t="n"/>
      <c r="H11" s="19" t="n"/>
      <c r="I11" s="19" t="n"/>
      <c r="J11" s="22" t="inlineStr">
        <is>
          <t>economic/economical 敏感度</t>
        </is>
      </c>
      <c r="K11" s="24">
        <f>IF(COUNTA(F11:J11)=0,"",COUNTA(F11:J11)/5)</f>
        <v/>
      </c>
      <c r="L11" s="21" t="inlineStr">
        <is>
          <t>D3、D6、D8、D9</t>
        </is>
      </c>
    </row>
    <row r="12">
      <c r="A12" s="21" t="inlineStr">
        <is>
          <t>D11</t>
        </is>
      </c>
      <c r="B12" s="21" t="n">
        <v>2</v>
      </c>
      <c r="C12" s="22" t="inlineStr">
        <is>
          <t>第4章 科技、网络与科学</t>
        </is>
      </c>
      <c r="D12" s="21" t="n">
        <v>85</v>
      </c>
      <c r="E12" s="23" t="n">
        <v>46328</v>
      </c>
      <c r="F12" s="18" t="n"/>
      <c r="G12" s="18" t="n"/>
      <c r="H12" s="19" t="n"/>
      <c r="I12" s="19" t="n"/>
      <c r="J12" s="22" t="inlineStr">
        <is>
          <t>顺手记评价形容词</t>
        </is>
      </c>
      <c r="K12" s="24">
        <f>IF(COUNTA(F12:J12)=0,"",COUNTA(F12:J12)/5)</f>
        <v/>
      </c>
      <c r="L12" s="21" t="inlineStr">
        <is>
          <t>D4、D7、D9、D10</t>
        </is>
      </c>
    </row>
    <row r="13">
      <c r="A13" s="21" t="inlineStr">
        <is>
          <t>D12</t>
        </is>
      </c>
      <c r="B13" s="21" t="n">
        <v>2</v>
      </c>
      <c r="C13" s="22" t="inlineStr">
        <is>
          <t>第8章 心理与情绪（前45）</t>
        </is>
      </c>
      <c r="D13" s="21" t="n">
        <v>45</v>
      </c>
      <c r="E13" s="23" t="n">
        <v>46329</v>
      </c>
      <c r="F13" s="18" t="n"/>
      <c r="G13" s="18" t="n"/>
      <c r="H13" s="19" t="n"/>
      <c r="I13" s="19" t="n"/>
      <c r="J13" s="22" t="inlineStr">
        <is>
          <t>-ed 说人、-ing 说物</t>
        </is>
      </c>
      <c r="K13" s="24">
        <f>IF(COUNTA(F13:J13)=0,"",COUNTA(F13:J13)/5)</f>
        <v/>
      </c>
      <c r="L13" s="21" t="inlineStr">
        <is>
          <t>D5、D8、D10、D11</t>
        </is>
      </c>
    </row>
    <row r="14">
      <c r="A14" s="21" t="inlineStr">
        <is>
          <t>D13</t>
        </is>
      </c>
      <c r="B14" s="21" t="n">
        <v>2</v>
      </c>
      <c r="C14" s="22" t="inlineStr">
        <is>
          <t>第8章 心理与情绪（后40）</t>
        </is>
      </c>
      <c r="D14" s="21" t="n">
        <v>40</v>
      </c>
      <c r="E14" s="23" t="n">
        <v>46330</v>
      </c>
      <c r="F14" s="18" t="n"/>
      <c r="G14" s="18" t="n"/>
      <c r="H14" s="19" t="n"/>
      <c r="I14" s="19" t="n"/>
      <c r="J14" s="22" t="inlineStr">
        <is>
          <t>情绪词成对记</t>
        </is>
      </c>
      <c r="K14" s="24">
        <f>IF(COUNTA(F14:J14)=0,"",COUNTA(F14:J14)/5)</f>
        <v/>
      </c>
      <c r="L14" s="21" t="inlineStr">
        <is>
          <t>D6、D9、D11、D12</t>
        </is>
      </c>
    </row>
    <row r="15">
      <c r="A15" s="21" t="inlineStr">
        <is>
          <t>D14</t>
        </is>
      </c>
      <c r="B15" s="21" t="n">
        <v>2</v>
      </c>
      <c r="C15" s="22" t="inlineStr">
        <is>
          <t>周测（第2周）+ 补漏</t>
        </is>
      </c>
      <c r="D15" s="21" t="n">
        <v>0</v>
      </c>
      <c r="E15" s="23" t="n">
        <v>46331</v>
      </c>
      <c r="F15" s="18" t="n"/>
      <c r="G15" s="18" t="n"/>
      <c r="H15" s="19" t="n"/>
      <c r="I15" s="19" t="n"/>
      <c r="J15" s="22" t="inlineStr">
        <is>
          <t>抽80词，75%为线</t>
        </is>
      </c>
      <c r="K15" s="24">
        <f>IF(COUNTA(F15:J15)=0,"",COUNTA(F15:J15)/5)</f>
        <v/>
      </c>
      <c r="L15" s="21" t="inlineStr">
        <is>
          <t>D7、D10、D12、D13</t>
        </is>
      </c>
    </row>
    <row r="16">
      <c r="A16" s="15" t="inlineStr">
        <is>
          <t>D15</t>
        </is>
      </c>
      <c r="B16" s="15" t="n">
        <v>3</v>
      </c>
      <c r="C16" s="16" t="inlineStr">
        <is>
          <t>第7章 社会与政治</t>
        </is>
      </c>
      <c r="D16" s="15" t="n">
        <v>95</v>
      </c>
      <c r="E16" s="17" t="n">
        <v>46332</v>
      </c>
      <c r="F16" s="18" t="n"/>
      <c r="G16" s="18" t="n"/>
      <c r="H16" s="19" t="n"/>
      <c r="I16" s="19" t="n"/>
      <c r="J16" s="16" t="inlineStr">
        <is>
          <t>人口—平等—制度三块</t>
        </is>
      </c>
      <c r="K16" s="20">
        <f>IF(COUNTA(F16:J16)=0,"",COUNTA(F16:J16)/5)</f>
        <v/>
      </c>
      <c r="L16" s="15" t="inlineStr">
        <is>
          <t>D8、D11、D13、D14</t>
        </is>
      </c>
    </row>
    <row r="17">
      <c r="A17" s="15" t="inlineStr">
        <is>
          <t>D16</t>
        </is>
      </c>
      <c r="B17" s="15" t="n">
        <v>3</v>
      </c>
      <c r="C17" s="16" t="inlineStr">
        <is>
          <t>第11章 文化与传媒</t>
        </is>
      </c>
      <c r="D17" s="15" t="n">
        <v>94</v>
      </c>
      <c r="E17" s="17" t="n">
        <v>46333</v>
      </c>
      <c r="F17" s="18" t="n"/>
      <c r="G17" s="18" t="n"/>
      <c r="H17" s="19" t="n"/>
      <c r="I17" s="19" t="n"/>
      <c r="J17" s="16" t="inlineStr">
        <is>
          <t>翻译题主力词，必须会拼</t>
        </is>
      </c>
      <c r="K17" s="20">
        <f>IF(COUNTA(F17:J17)=0,"",COUNTA(F17:J17)/5)</f>
        <v/>
      </c>
      <c r="L17" s="15" t="inlineStr">
        <is>
          <t>D1、D9、D12、D14、D15</t>
        </is>
      </c>
    </row>
    <row r="18">
      <c r="A18" s="15" t="inlineStr">
        <is>
          <t>D17</t>
        </is>
      </c>
      <c r="B18" s="15" t="n">
        <v>3</v>
      </c>
      <c r="C18" s="16" t="inlineStr">
        <is>
          <t>第12章 法律与犯罪</t>
        </is>
      </c>
      <c r="D18" s="15" t="n">
        <v>67</v>
      </c>
      <c r="E18" s="17" t="n">
        <v>46334</v>
      </c>
      <c r="F18" s="18" t="n"/>
      <c r="G18" s="18" t="n"/>
      <c r="H18" s="19" t="n"/>
      <c r="I18" s="19" t="n"/>
      <c r="J18" s="16" t="inlineStr">
        <is>
          <t>只要求看到认识</t>
        </is>
      </c>
      <c r="K18" s="20">
        <f>IF(COUNTA(F18:J18)=0,"",COUNTA(F18:J18)/5)</f>
        <v/>
      </c>
      <c r="L18" s="15" t="inlineStr">
        <is>
          <t>D2、D10、D13、D15、D16</t>
        </is>
      </c>
    </row>
    <row r="19">
      <c r="A19" s="15" t="inlineStr">
        <is>
          <t>D18</t>
        </is>
      </c>
      <c r="B19" s="15" t="n">
        <v>3</v>
      </c>
      <c r="C19" s="16" t="inlineStr">
        <is>
          <t>第16章 通用形容词与副词</t>
        </is>
      </c>
      <c r="D19" s="15" t="n">
        <v>71</v>
      </c>
      <c r="E19" s="17" t="n">
        <v>46335</v>
      </c>
      <c r="F19" s="18" t="n"/>
      <c r="G19" s="18" t="n"/>
      <c r="H19" s="19" t="n"/>
      <c r="I19" s="19" t="n"/>
      <c r="J19" s="16" t="inlineStr">
        <is>
          <t>作文提分最快</t>
        </is>
      </c>
      <c r="K19" s="20">
        <f>IF(COUNTA(F19:J19)=0,"",COUNTA(F19:J19)/5)</f>
        <v/>
      </c>
      <c r="L19" s="15" t="inlineStr">
        <is>
          <t>D3、D11、D14、D16、D17</t>
        </is>
      </c>
    </row>
    <row r="20">
      <c r="A20" s="15" t="inlineStr">
        <is>
          <t>D19</t>
        </is>
      </c>
      <c r="B20" s="15" t="n">
        <v>3</v>
      </c>
      <c r="C20" s="16" t="inlineStr">
        <is>
          <t>第14章 时间、数量与程度（前50）</t>
        </is>
      </c>
      <c r="D20" s="15" t="n">
        <v>50</v>
      </c>
      <c r="E20" s="17" t="n">
        <v>46336</v>
      </c>
      <c r="F20" s="18" t="n"/>
      <c r="G20" s="18" t="n"/>
      <c r="H20" s="19" t="n"/>
      <c r="I20" s="19" t="n"/>
      <c r="J20" s="16" t="inlineStr">
        <is>
          <t>amount/number 搭配</t>
        </is>
      </c>
      <c r="K20" s="20">
        <f>IF(COUNTA(F20:J20)=0,"",COUNTA(F20:J20)/5)</f>
        <v/>
      </c>
      <c r="L20" s="15" t="inlineStr">
        <is>
          <t>D4、D12、D15、D17、D18</t>
        </is>
      </c>
    </row>
    <row r="21">
      <c r="A21" s="15" t="inlineStr">
        <is>
          <t>D20</t>
        </is>
      </c>
      <c r="B21" s="15" t="n">
        <v>3</v>
      </c>
      <c r="C21" s="16" t="inlineStr">
        <is>
          <t>第14章 时间、数量与程度（后47）</t>
        </is>
      </c>
      <c r="D21" s="15" t="n">
        <v>47</v>
      </c>
      <c r="E21" s="17" t="n">
        <v>46337</v>
      </c>
      <c r="F21" s="18" t="n"/>
      <c r="G21" s="18" t="n"/>
      <c r="H21" s="19" t="n"/>
      <c r="I21" s="19" t="n"/>
      <c r="J21" s="16" t="inlineStr">
        <is>
          <t>continuous/continual</t>
        </is>
      </c>
      <c r="K21" s="20">
        <f>IF(COUNTA(F21:J21)=0,"",COUNTA(F21:J21)/5)</f>
        <v/>
      </c>
      <c r="L21" s="15" t="inlineStr">
        <is>
          <t>D5、D13、D16、D18、D19</t>
        </is>
      </c>
    </row>
    <row r="22">
      <c r="A22" s="15" t="inlineStr">
        <is>
          <t>D21</t>
        </is>
      </c>
      <c r="B22" s="15" t="n">
        <v>3</v>
      </c>
      <c r="C22" s="16" t="inlineStr">
        <is>
          <t>周测（第3周）+ 补漏</t>
        </is>
      </c>
      <c r="D22" s="15" t="n">
        <v>0</v>
      </c>
      <c r="E22" s="17" t="n">
        <v>46338</v>
      </c>
      <c r="F22" s="18" t="n"/>
      <c r="G22" s="18" t="n"/>
      <c r="H22" s="19" t="n"/>
      <c r="I22" s="19" t="n"/>
      <c r="J22" s="16" t="inlineStr">
        <is>
          <t>第一轮最硬的一次测试</t>
        </is>
      </c>
      <c r="K22" s="20">
        <f>IF(COUNTA(F22:J22)=0,"",COUNTA(F22:J22)/5)</f>
        <v/>
      </c>
      <c r="L22" s="15" t="inlineStr">
        <is>
          <t>D6、D14、D17、D19、D20</t>
        </is>
      </c>
    </row>
    <row r="23">
      <c r="A23" s="21" t="inlineStr">
        <is>
          <t>D22</t>
        </is>
      </c>
      <c r="B23" s="21" t="n">
        <v>4</v>
      </c>
      <c r="C23" s="22" t="inlineStr">
        <is>
          <t>第15章 通用动词</t>
        </is>
      </c>
      <c r="D23" s="21" t="n">
        <v>85</v>
      </c>
      <c r="E23" s="23" t="n">
        <v>46339</v>
      </c>
      <c r="F23" s="18" t="n"/>
      <c r="G23" s="18" t="n"/>
      <c r="H23" s="19" t="n"/>
      <c r="I23" s="19" t="n"/>
      <c r="J23" s="22" t="inlineStr">
        <is>
          <t>每个至少造一句</t>
        </is>
      </c>
      <c r="K23" s="24">
        <f>IF(COUNTA(F23:J23)=0,"",COUNTA(F23:J23)/5)</f>
        <v/>
      </c>
      <c r="L23" s="21" t="inlineStr">
        <is>
          <t>D7、D15、D18、D20、D21</t>
        </is>
      </c>
    </row>
    <row r="24">
      <c r="A24" s="21" t="inlineStr">
        <is>
          <t>D23</t>
        </is>
      </c>
      <c r="B24" s="21" t="n">
        <v>4</v>
      </c>
      <c r="C24" s="22" t="inlineStr">
        <is>
          <t>复习第1—8章错词 + 前后缀表</t>
        </is>
      </c>
      <c r="D24" s="21" t="n">
        <v>0</v>
      </c>
      <c r="E24" s="23" t="n">
        <v>46340</v>
      </c>
      <c r="F24" s="18" t="n"/>
      <c r="G24" s="18" t="n"/>
      <c r="H24" s="19" t="n"/>
      <c r="I24" s="19" t="n"/>
      <c r="J24" s="22" t="inlineStr">
        <is>
          <t>前缀定正负、后缀定词性</t>
        </is>
      </c>
      <c r="K24" s="24">
        <f>IF(COUNTA(F24:J24)=0,"",COUNTA(F24:J24)/5)</f>
        <v/>
      </c>
      <c r="L24" s="21" t="inlineStr">
        <is>
          <t>D8、D16、D19、D21、D22</t>
        </is>
      </c>
    </row>
    <row r="25">
      <c r="A25" s="21" t="inlineStr">
        <is>
          <t>D24</t>
        </is>
      </c>
      <c r="B25" s="21" t="n">
        <v>4</v>
      </c>
      <c r="C25" s="22" t="inlineStr">
        <is>
          <t>复习第9—16章错词</t>
        </is>
      </c>
      <c r="D25" s="21" t="n">
        <v>0</v>
      </c>
      <c r="E25" s="23" t="n">
        <v>46341</v>
      </c>
      <c r="F25" s="18" t="n"/>
      <c r="G25" s="18" t="n"/>
      <c r="H25" s="19" t="n"/>
      <c r="I25" s="19" t="n"/>
      <c r="J25" s="22" t="inlineStr">
        <is>
          <t>只过错词本，不重背全书</t>
        </is>
      </c>
      <c r="K25" s="24">
        <f>IF(COUNTA(F25:J25)=0,"",COUNTA(F25:J25)/5)</f>
        <v/>
      </c>
      <c r="L25" s="21" t="inlineStr">
        <is>
          <t>D9、D17、D20、D22、D23</t>
        </is>
      </c>
    </row>
    <row r="26">
      <c r="A26" s="21" t="inlineStr">
        <is>
          <t>D25</t>
        </is>
      </c>
      <c r="B26" s="21" t="n">
        <v>4</v>
      </c>
      <c r="C26" s="22" t="inlineStr">
        <is>
          <t>第一轮总测（抽200词）</t>
        </is>
      </c>
      <c r="D26" s="21" t="n">
        <v>0</v>
      </c>
      <c r="E26" s="23" t="n">
        <v>46342</v>
      </c>
      <c r="F26" s="18" t="n"/>
      <c r="G26" s="18" t="n"/>
      <c r="H26" s="19" t="n"/>
      <c r="I26" s="19" t="n"/>
      <c r="J26" s="22" t="inlineStr">
        <is>
          <t>85%/65% 为进周门槛</t>
        </is>
      </c>
      <c r="K26" s="24">
        <f>IF(COUNTA(F26:J26)=0,"",COUNTA(F26:J26)/5)</f>
        <v/>
      </c>
      <c r="L26" s="21" t="inlineStr">
        <is>
          <t>D10、D18、D21、D23、D24</t>
        </is>
      </c>
    </row>
    <row r="27">
      <c r="A27" s="21" t="inlineStr">
        <is>
          <t>D26</t>
        </is>
      </c>
      <c r="B27" s="21" t="n">
        <v>4</v>
      </c>
      <c r="C27" s="22" t="inlineStr">
        <is>
          <t>补漏 + 错词本分类</t>
        </is>
      </c>
      <c r="D27" s="21" t="n">
        <v>0</v>
      </c>
      <c r="E27" s="23" t="n">
        <v>46343</v>
      </c>
      <c r="F27" s="18" t="n"/>
      <c r="G27" s="18" t="n"/>
      <c r="H27" s="19" t="n"/>
      <c r="I27" s="19" t="n"/>
      <c r="J27" s="22" t="inlineStr">
        <is>
          <t>分“完全不会/半熟”两栏</t>
        </is>
      </c>
      <c r="K27" s="24">
        <f>IF(COUNTA(F27:J27)=0,"",COUNTA(F27:J27)/5)</f>
        <v/>
      </c>
      <c r="L27" s="21" t="inlineStr">
        <is>
          <t>D11、D19、D22、D24、D25</t>
        </is>
      </c>
    </row>
    <row r="28">
      <c r="A28" s="21" t="inlineStr">
        <is>
          <t>D27</t>
        </is>
      </c>
      <c r="B28" s="21" t="n">
        <v>4</v>
      </c>
      <c r="C28" s="22" t="inlineStr">
        <is>
          <t>词根 17.1—17.14（14族）</t>
        </is>
      </c>
      <c r="D28" s="21" t="n">
        <v>48</v>
      </c>
      <c r="E28" s="23" t="n">
        <v>46344</v>
      </c>
      <c r="F28" s="18" t="n"/>
      <c r="G28" s="18" t="n"/>
      <c r="H28" s="19" t="n"/>
      <c r="I28" s="19" t="n"/>
      <c r="J28" s="22" t="inlineStr">
        <is>
          <t>先看懂词根表，不求背全</t>
        </is>
      </c>
      <c r="K28" s="24">
        <f>IF(COUNTA(F28:J28)=0,"",COUNTA(F28:J28)/5)</f>
        <v/>
      </c>
      <c r="L28" s="21" t="inlineStr">
        <is>
          <t>D12、D20、D23、D25、D26</t>
        </is>
      </c>
    </row>
    <row r="29">
      <c r="A29" s="21" t="inlineStr">
        <is>
          <t>D28</t>
        </is>
      </c>
      <c r="B29" s="21" t="n">
        <v>4</v>
      </c>
      <c r="C29" s="22" t="inlineStr">
        <is>
          <t>词根 17.15—17.28（14族）</t>
        </is>
      </c>
      <c r="D29" s="21" t="n">
        <v>48</v>
      </c>
      <c r="E29" s="23" t="n">
        <v>46345</v>
      </c>
      <c r="F29" s="18" t="n"/>
      <c r="G29" s="18" t="n"/>
      <c r="H29" s="19" t="n"/>
      <c r="I29" s="19" t="n"/>
      <c r="J29" s="22" t="inlineStr">
        <is>
          <t>按族画词根树</t>
        </is>
      </c>
      <c r="K29" s="24">
        <f>IF(COUNTA(F29:J29)=0,"",COUNTA(F29:J29)/5)</f>
        <v/>
      </c>
      <c r="L29" s="21" t="inlineStr">
        <is>
          <t>D13、D21、D24、D26、D27</t>
        </is>
      </c>
    </row>
    <row r="30">
      <c r="A30" s="15" t="inlineStr">
        <is>
          <t>D29</t>
        </is>
      </c>
      <c r="B30" s="15" t="n">
        <v>5</v>
      </c>
      <c r="C30" s="16" t="inlineStr">
        <is>
          <t>词根 17.29—17.40 + 前后缀表</t>
        </is>
      </c>
      <c r="D30" s="15" t="n">
        <v>48</v>
      </c>
      <c r="E30" s="17" t="n">
        <v>46346</v>
      </c>
      <c r="F30" s="18" t="n"/>
      <c r="G30" s="18" t="n"/>
      <c r="H30" s="19" t="n"/>
      <c r="I30" s="19" t="n"/>
      <c r="J30" s="16" t="inlineStr">
        <is>
          <t>把前后缀当猜词工具</t>
        </is>
      </c>
      <c r="K30" s="20">
        <f>IF(COUNTA(F30:J30)=0,"",COUNTA(F30:J30)/5)</f>
        <v/>
      </c>
      <c r="L30" s="15" t="inlineStr">
        <is>
          <t>D14、D22、D25、D27、D28</t>
        </is>
      </c>
    </row>
    <row r="31">
      <c r="A31" s="15" t="inlineStr">
        <is>
          <t>D30</t>
        </is>
      </c>
      <c r="B31" s="15" t="n">
        <v>5</v>
      </c>
      <c r="C31" s="16" t="inlineStr">
        <is>
          <t>词根反查测试（20族×3词）</t>
        </is>
      </c>
      <c r="D31" s="15" t="n">
        <v>0</v>
      </c>
      <c r="E31" s="17" t="n">
        <v>46347</v>
      </c>
      <c r="F31" s="18" t="n"/>
      <c r="G31" s="18" t="n"/>
      <c r="H31" s="19" t="n"/>
      <c r="I31" s="19" t="n"/>
      <c r="J31" s="16" t="inlineStr">
        <is>
          <t>60% 为线</t>
        </is>
      </c>
      <c r="K31" s="20">
        <f>IF(COUNTA(F31:J31)=0,"",COUNTA(F31:J31)/5)</f>
        <v/>
      </c>
      <c r="L31" s="15" t="inlineStr">
        <is>
          <t>D15、D23、D26、D28、D29</t>
        </is>
      </c>
    </row>
    <row r="32">
      <c r="A32" s="15" t="inlineStr">
        <is>
          <t>D31</t>
        </is>
      </c>
      <c r="B32" s="15" t="n">
        <v>5</v>
      </c>
      <c r="C32" s="16" t="inlineStr">
        <is>
          <t>易混 1—15 组</t>
        </is>
      </c>
      <c r="D32" s="15" t="n">
        <v>30</v>
      </c>
      <c r="E32" s="17" t="n">
        <v>46348</v>
      </c>
      <c r="F32" s="18" t="n"/>
      <c r="G32" s="18" t="n"/>
      <c r="H32" s="19" t="n"/>
      <c r="I32" s="19" t="n"/>
      <c r="J32" s="16" t="inlineStr">
        <is>
          <t>只背“区别点”那一栏</t>
        </is>
      </c>
      <c r="K32" s="20">
        <f>IF(COUNTA(F32:J32)=0,"",COUNTA(F32:J32)/5)</f>
        <v/>
      </c>
      <c r="L32" s="15" t="inlineStr">
        <is>
          <t>D16、D24、D27、D29、D30</t>
        </is>
      </c>
    </row>
    <row r="33">
      <c r="A33" s="15" t="inlineStr">
        <is>
          <t>D32</t>
        </is>
      </c>
      <c r="B33" s="15" t="n">
        <v>5</v>
      </c>
      <c r="C33" s="16" t="inlineStr">
        <is>
          <t>易混 16—30 组</t>
        </is>
      </c>
      <c r="D33" s="15" t="n">
        <v>30</v>
      </c>
      <c r="E33" s="17" t="n">
        <v>46349</v>
      </c>
      <c r="F33" s="18" t="n"/>
      <c r="G33" s="18" t="n"/>
      <c r="H33" s="19" t="n"/>
      <c r="I33" s="19" t="n"/>
      <c r="J33" s="16" t="inlineStr">
        <is>
          <t>同上</t>
        </is>
      </c>
      <c r="K33" s="20">
        <f>IF(COUNTA(F33:J33)=0,"",COUNTA(F33:J33)/5)</f>
        <v/>
      </c>
      <c r="L33" s="15" t="inlineStr">
        <is>
          <t>D17、D25、D28、D30、D31</t>
        </is>
      </c>
    </row>
    <row r="34">
      <c r="A34" s="15" t="inlineStr">
        <is>
          <t>D33</t>
        </is>
      </c>
      <c r="B34" s="15" t="n">
        <v>5</v>
      </c>
      <c r="C34" s="16" t="inlineStr">
        <is>
          <t>易混 31—50 组</t>
        </is>
      </c>
      <c r="D34" s="15" t="n">
        <v>40</v>
      </c>
      <c r="E34" s="17" t="n">
        <v>46350</v>
      </c>
      <c r="F34" s="18" t="n"/>
      <c r="G34" s="18" t="n"/>
      <c r="H34" s="19" t="n"/>
      <c r="I34" s="19" t="n"/>
      <c r="J34" s="16" t="inlineStr">
        <is>
          <t>重点吃透 8 组高频对</t>
        </is>
      </c>
      <c r="K34" s="20">
        <f>IF(COUNTA(F34:J34)=0,"",COUNTA(F34:J34)/5)</f>
        <v/>
      </c>
      <c r="L34" s="15" t="inlineStr">
        <is>
          <t>D18、D26、D29、D31、D32</t>
        </is>
      </c>
    </row>
    <row r="35">
      <c r="A35" s="15" t="inlineStr">
        <is>
          <t>D34</t>
        </is>
      </c>
      <c r="B35" s="15" t="n">
        <v>5</v>
      </c>
      <c r="C35" s="16" t="inlineStr">
        <is>
          <t>僻义 1—30 词</t>
        </is>
      </c>
      <c r="D35" s="15" t="n">
        <v>30</v>
      </c>
      <c r="E35" s="17" t="n">
        <v>46351</v>
      </c>
      <c r="F35" s="18" t="n"/>
      <c r="G35" s="18" t="n"/>
      <c r="H35" s="19" t="n"/>
      <c r="I35" s="19" t="n"/>
      <c r="J35" s="16" t="inlineStr">
        <is>
          <t>address/appreciate/bear/charge 优先</t>
        </is>
      </c>
      <c r="K35" s="20">
        <f>IF(COUNTA(F35:J35)=0,"",COUNTA(F35:J35)/5)</f>
        <v/>
      </c>
      <c r="L35" s="15" t="inlineStr">
        <is>
          <t>D19、D27、D30、D32、D33</t>
        </is>
      </c>
    </row>
    <row r="36">
      <c r="A36" s="15" t="inlineStr">
        <is>
          <t>D35</t>
        </is>
      </c>
      <c r="B36" s="15" t="n">
        <v>5</v>
      </c>
      <c r="C36" s="16" t="inlineStr">
        <is>
          <t>僻义 31—60 词</t>
        </is>
      </c>
      <c r="D36" s="15" t="n">
        <v>30</v>
      </c>
      <c r="E36" s="17" t="n">
        <v>46352</v>
      </c>
      <c r="F36" s="18" t="n"/>
      <c r="G36" s="18" t="n"/>
      <c r="H36" s="19" t="n"/>
      <c r="I36" s="19" t="n"/>
      <c r="J36" s="16" t="inlineStr">
        <is>
          <t>每条只记不认识的义项</t>
        </is>
      </c>
      <c r="K36" s="20">
        <f>IF(COUNTA(F36:J36)=0,"",COUNTA(F36:J36)/5)</f>
        <v/>
      </c>
      <c r="L36" s="15" t="inlineStr">
        <is>
          <t>D20、D28、D31、D33、D34</t>
        </is>
      </c>
    </row>
    <row r="37">
      <c r="A37" s="21" t="inlineStr">
        <is>
          <t>D36</t>
        </is>
      </c>
      <c r="B37" s="21" t="n">
        <v>6</v>
      </c>
      <c r="C37" s="22" t="inlineStr">
        <is>
          <t>僻义 61—90 词 + 模考一</t>
        </is>
      </c>
      <c r="D37" s="21" t="n">
        <v>30</v>
      </c>
      <c r="E37" s="23" t="n">
        <v>46353</v>
      </c>
      <c r="F37" s="18" t="n"/>
      <c r="G37" s="18" t="n"/>
      <c r="H37" s="19" t="n"/>
      <c r="I37" s="19" t="n"/>
      <c r="J37" s="22" t="inlineStr">
        <is>
          <t>阅读+听力，不计写作</t>
        </is>
      </c>
      <c r="K37" s="24">
        <f>IF(COUNTA(F37:J37)=0,"",COUNTA(F37:J37)/5)</f>
        <v/>
      </c>
      <c r="L37" s="21" t="inlineStr">
        <is>
          <t>D21、D29、D32、D34、D35</t>
        </is>
      </c>
    </row>
    <row r="38">
      <c r="A38" s="21" t="inlineStr">
        <is>
          <t>D37</t>
        </is>
      </c>
      <c r="B38" s="21" t="n">
        <v>6</v>
      </c>
      <c r="C38" s="22" t="inlineStr">
        <is>
          <t>辨析错题重做</t>
        </is>
      </c>
      <c r="D38" s="21" t="n">
        <v>0</v>
      </c>
      <c r="E38" s="23" t="n">
        <v>46354</v>
      </c>
      <c r="F38" s="18" t="n"/>
      <c r="G38" s="18" t="n"/>
      <c r="H38" s="19" t="n"/>
      <c r="I38" s="19" t="n"/>
      <c r="J38" s="22" t="inlineStr">
        <is>
          <t>错题必须写清“为什么错”</t>
        </is>
      </c>
      <c r="K38" s="24">
        <f>IF(COUNTA(F38:J38)=0,"",COUNTA(F38:J38)/5)</f>
        <v/>
      </c>
      <c r="L38" s="21" t="inlineStr">
        <is>
          <t>D22、D30、D33、D35、D36</t>
        </is>
      </c>
    </row>
    <row r="39">
      <c r="A39" s="21" t="inlineStr">
        <is>
          <t>D38</t>
        </is>
      </c>
      <c r="B39" s="21" t="n">
        <v>6</v>
      </c>
      <c r="C39" s="22" t="inlineStr">
        <is>
          <t>动词短语 1—30</t>
        </is>
      </c>
      <c r="D39" s="21" t="n">
        <v>30</v>
      </c>
      <c r="E39" s="23" t="n">
        <v>46355</v>
      </c>
      <c r="F39" s="18" t="n"/>
      <c r="G39" s="18" t="n"/>
      <c r="H39" s="19" t="n"/>
      <c r="I39" s="19" t="n"/>
      <c r="J39" s="22" t="inlineStr">
        <is>
          <t>整块记，不拆开</t>
        </is>
      </c>
      <c r="K39" s="24">
        <f>IF(COUNTA(F39:J39)=0,"",COUNTA(F39:J39)/5)</f>
        <v/>
      </c>
      <c r="L39" s="21" t="inlineStr">
        <is>
          <t>D23、D31、D34、D36、D37</t>
        </is>
      </c>
    </row>
    <row r="40">
      <c r="A40" s="21" t="inlineStr">
        <is>
          <t>D39</t>
        </is>
      </c>
      <c r="B40" s="21" t="n">
        <v>6</v>
      </c>
      <c r="C40" s="22" t="inlineStr">
        <is>
          <t>动词短语 31—60</t>
        </is>
      </c>
      <c r="D40" s="21" t="n">
        <v>30</v>
      </c>
      <c r="E40" s="23" t="n">
        <v>46356</v>
      </c>
      <c r="F40" s="18" t="n"/>
      <c r="G40" s="18" t="n"/>
      <c r="H40" s="19" t="n"/>
      <c r="I40" s="19" t="n"/>
      <c r="J40" s="22" t="inlineStr">
        <is>
          <t>每个造一句</t>
        </is>
      </c>
      <c r="K40" s="24">
        <f>IF(COUNTA(F40:J40)=0,"",COUNTA(F40:J40)/5)</f>
        <v/>
      </c>
      <c r="L40" s="21" t="inlineStr">
        <is>
          <t>D24、D32、D35、D37、D38</t>
        </is>
      </c>
    </row>
    <row r="41">
      <c r="A41" s="21" t="inlineStr">
        <is>
          <t>D40</t>
        </is>
      </c>
      <c r="B41" s="21" t="n">
        <v>6</v>
      </c>
      <c r="C41" s="22" t="inlineStr">
        <is>
          <t>动词短语 61—96 + 熟词生义</t>
        </is>
      </c>
      <c r="D41" s="21" t="n">
        <v>57</v>
      </c>
      <c r="E41" s="23" t="n">
        <v>46357</v>
      </c>
      <c r="F41" s="18" t="n"/>
      <c r="G41" s="18" t="n"/>
      <c r="H41" s="19" t="n"/>
      <c r="I41" s="19" t="n"/>
      <c r="J41" s="22" t="inlineStr">
        <is>
          <t>take...for granted 必背</t>
        </is>
      </c>
      <c r="K41" s="24">
        <f>IF(COUNTA(F41:J41)=0,"",COUNTA(F41:J41)/5)</f>
        <v/>
      </c>
      <c r="L41" s="21" t="inlineStr">
        <is>
          <t>D25、D33、D36、D38、D39</t>
        </is>
      </c>
    </row>
    <row r="42">
      <c r="A42" s="21" t="inlineStr">
        <is>
          <t>D41</t>
        </is>
      </c>
      <c r="B42" s="21" t="n">
        <v>6</v>
      </c>
      <c r="C42" s="22" t="inlineStr">
        <is>
          <t>介词短语 46 条</t>
        </is>
      </c>
      <c r="D42" s="21" t="n">
        <v>46</v>
      </c>
      <c r="E42" s="23" t="n">
        <v>46358</v>
      </c>
      <c r="F42" s="18" t="n"/>
      <c r="G42" s="18" t="n"/>
      <c r="H42" s="19" t="n"/>
      <c r="I42" s="19" t="n"/>
      <c r="J42" s="22" t="inlineStr">
        <is>
          <t>in spite of 后不能接句子</t>
        </is>
      </c>
      <c r="K42" s="24">
        <f>IF(COUNTA(F42:J42)=0,"",COUNTA(F42:J42)/5)</f>
        <v/>
      </c>
      <c r="L42" s="21" t="inlineStr">
        <is>
          <t>D26、D34、D37、D39、D40</t>
        </is>
      </c>
    </row>
    <row r="43">
      <c r="A43" s="21" t="inlineStr">
        <is>
          <t>D42</t>
        </is>
      </c>
      <c r="B43" s="21" t="n">
        <v>6</v>
      </c>
      <c r="C43" s="22" t="inlineStr">
        <is>
          <t>形容词 + 介词 30 条</t>
        </is>
      </c>
      <c r="D43" s="21" t="n">
        <v>30</v>
      </c>
      <c r="E43" s="23" t="n">
        <v>46359</v>
      </c>
      <c r="F43" s="18" t="n"/>
      <c r="G43" s="18" t="n"/>
      <c r="H43" s="19" t="n"/>
      <c r="I43" s="19" t="n"/>
      <c r="J43" s="22" t="inlineStr">
        <is>
          <t>be used to doing 三兄弟</t>
        </is>
      </c>
      <c r="K43" s="24">
        <f>IF(COUNTA(F43:J43)=0,"",COUNTA(F43:J43)/5)</f>
        <v/>
      </c>
      <c r="L43" s="21" t="inlineStr">
        <is>
          <t>D27、D35、D38、D40、D41</t>
        </is>
      </c>
    </row>
    <row r="44">
      <c r="A44" s="15" t="inlineStr">
        <is>
          <t>D43</t>
        </is>
      </c>
      <c r="B44" s="15" t="n">
        <v>7</v>
      </c>
      <c r="C44" s="16" t="inlineStr">
        <is>
          <t>写作输出：3 篇作文</t>
        </is>
      </c>
      <c r="D44" s="15" t="n">
        <v>0</v>
      </c>
      <c r="E44" s="17" t="n">
        <v>46360</v>
      </c>
      <c r="F44" s="18" t="n"/>
      <c r="G44" s="18" t="n"/>
      <c r="H44" s="19" t="n"/>
      <c r="I44" s="19" t="n"/>
      <c r="J44" s="16" t="inlineStr">
        <is>
          <t>强制用本周词组+第4周动词</t>
        </is>
      </c>
      <c r="K44" s="20">
        <f>IF(COUNTA(F44:J44)=0,"",COUNTA(F44:J44)/5)</f>
        <v/>
      </c>
      <c r="L44" s="15" t="inlineStr">
        <is>
          <t>D28、D36、D39、D41、D42</t>
        </is>
      </c>
    </row>
    <row r="45">
      <c r="A45" s="15" t="inlineStr">
        <is>
          <t>D44</t>
        </is>
      </c>
      <c r="B45" s="15" t="n">
        <v>7</v>
      </c>
      <c r="C45" s="16" t="inlineStr">
        <is>
          <t>模考二 + 复盘</t>
        </is>
      </c>
      <c r="D45" s="15" t="n">
        <v>0</v>
      </c>
      <c r="E45" s="17" t="n">
        <v>46361</v>
      </c>
      <c r="F45" s="18" t="n"/>
      <c r="G45" s="18" t="n"/>
      <c r="H45" s="19" t="n"/>
      <c r="I45" s="19" t="n"/>
      <c r="J45" s="16" t="inlineStr">
        <is>
          <t>全套含写作，按考试时间</t>
        </is>
      </c>
      <c r="K45" s="20">
        <f>IF(COUNTA(F45:J45)=0,"",COUNTA(F45:J45)/5)</f>
        <v/>
      </c>
      <c r="L45" s="15" t="inlineStr">
        <is>
          <t>D29、D37、D40、D42、D43</t>
        </is>
      </c>
    </row>
    <row r="46">
      <c r="A46" s="15" t="inlineStr">
        <is>
          <t>D45</t>
        </is>
      </c>
      <c r="B46" s="15" t="n">
        <v>7</v>
      </c>
      <c r="C46" s="16" t="inlineStr">
        <is>
          <t>真题阅读 2 篇</t>
        </is>
      </c>
      <c r="D46" s="15" t="n">
        <v>0</v>
      </c>
      <c r="E46" s="17" t="n">
        <v>46362</v>
      </c>
      <c r="F46" s="18" t="n"/>
      <c r="G46" s="18" t="n"/>
      <c r="H46" s="19" t="n"/>
      <c r="I46" s="19" t="n"/>
      <c r="J46" s="16" t="inlineStr">
        <is>
          <t>生词归档，不在文中查</t>
        </is>
      </c>
      <c r="K46" s="20">
        <f>IF(COUNTA(F46:J46)=0,"",COUNTA(F46:J46)/5)</f>
        <v/>
      </c>
      <c r="L46" s="15" t="inlineStr">
        <is>
          <t>D30、D38、D41、D43、D44</t>
        </is>
      </c>
    </row>
    <row r="47">
      <c r="A47" s="15" t="inlineStr">
        <is>
          <t>D46</t>
        </is>
      </c>
      <c r="B47" s="15" t="n">
        <v>7</v>
      </c>
      <c r="C47" s="16" t="inlineStr">
        <is>
          <t>真题听力 1 套</t>
        </is>
      </c>
      <c r="D47" s="15" t="n">
        <v>0</v>
      </c>
      <c r="E47" s="17" t="n">
        <v>46363</v>
      </c>
      <c r="F47" s="18" t="n"/>
      <c r="G47" s="18" t="n"/>
      <c r="H47" s="19" t="n"/>
      <c r="I47" s="19" t="n"/>
      <c r="J47" s="16" t="inlineStr">
        <is>
          <t>复盘场景词</t>
        </is>
      </c>
      <c r="K47" s="20">
        <f>IF(COUNTA(F47:J47)=0,"",COUNTA(F47:J47)/5)</f>
        <v/>
      </c>
      <c r="L47" s="15" t="inlineStr">
        <is>
          <t>D31、D39、D42、D44、D45</t>
        </is>
      </c>
    </row>
    <row r="48">
      <c r="A48" s="15" t="inlineStr">
        <is>
          <t>D47</t>
        </is>
      </c>
      <c r="B48" s="15" t="n">
        <v>7</v>
      </c>
      <c r="C48" s="16" t="inlineStr">
        <is>
          <t>真题翻译 2 篇</t>
        </is>
      </c>
      <c r="D48" s="15" t="n">
        <v>0</v>
      </c>
      <c r="E48" s="17" t="n">
        <v>46364</v>
      </c>
      <c r="F48" s="18" t="n"/>
      <c r="G48" s="18" t="n"/>
      <c r="H48" s="19" t="n"/>
      <c r="I48" s="19" t="n"/>
      <c r="J48" s="16" t="inlineStr">
        <is>
          <t>用文化词+数字表达</t>
        </is>
      </c>
      <c r="K48" s="20">
        <f>IF(COUNTA(F48:J48)=0,"",COUNTA(F48:J48)/5)</f>
        <v/>
      </c>
      <c r="L48" s="15" t="inlineStr">
        <is>
          <t>D32、D40、D43、D45、D46</t>
        </is>
      </c>
    </row>
    <row r="49">
      <c r="A49" s="15" t="inlineStr">
        <is>
          <t>D48</t>
        </is>
      </c>
      <c r="B49" s="15" t="n">
        <v>7</v>
      </c>
      <c r="C49" s="16" t="inlineStr">
        <is>
          <t>错词清零 + 僻义 90 速览</t>
        </is>
      </c>
      <c r="D49" s="15" t="n">
        <v>0</v>
      </c>
      <c r="E49" s="17" t="n">
        <v>46365</v>
      </c>
      <c r="F49" s="18" t="n"/>
      <c r="G49" s="18" t="n"/>
      <c r="H49" s="19" t="n"/>
      <c r="I49" s="19" t="n"/>
      <c r="J49" s="16" t="inlineStr">
        <is>
          <t>只过“完全不会”那栏</t>
        </is>
      </c>
      <c r="K49" s="20">
        <f>IF(COUNTA(F49:J49)=0,"",COUNTA(F49:J49)/5)</f>
        <v/>
      </c>
      <c r="L49" s="15" t="inlineStr">
        <is>
          <t>D33、D41、D44、D46、D47</t>
        </is>
      </c>
    </row>
    <row r="50">
      <c r="A50" s="15" t="inlineStr">
        <is>
          <t>D49</t>
        </is>
      </c>
      <c r="B50" s="15" t="n">
        <v>7</v>
      </c>
      <c r="C50" s="16" t="inlineStr">
        <is>
          <t>模考三（全真计时）</t>
        </is>
      </c>
      <c r="D50" s="15" t="n">
        <v>0</v>
      </c>
      <c r="E50" s="17" t="n">
        <v>46366</v>
      </c>
      <c r="F50" s="18" t="n"/>
      <c r="G50" s="18" t="n"/>
      <c r="H50" s="19" t="n"/>
      <c r="I50" s="19" t="n"/>
      <c r="J50" s="16" t="inlineStr">
        <is>
          <t>严格按考试流程</t>
        </is>
      </c>
      <c r="K50" s="20">
        <f>IF(COUNTA(F50:J50)=0,"",COUNTA(F50:J50)/5)</f>
        <v/>
      </c>
      <c r="L50" s="15" t="inlineStr">
        <is>
          <t>D34、D42、D45、D47、D48</t>
        </is>
      </c>
    </row>
  </sheetData>
  <autoFilter ref="A1:L50"/>
  <conditionalFormatting sqref="F2:G50">
    <cfRule type="cellIs" priority="1" operator="lessThan" dxfId="0">
      <formula>0.7</formula>
    </cfRule>
    <cfRule type="cellIs" priority="2" operator="between" dxfId="1">
      <formula>0.7</formula>
      <formula>0.85</formula>
    </cfRule>
    <cfRule type="cellIs" priority="3" operator="greaterThanOrEqual" dxfId="2">
      <formula>0.85</formula>
    </cfRule>
  </conditionalFormatting>
  <conditionalFormatting sqref="A2:E50">
    <cfRule type="expression" priority="4" dxfId="3">
      <formula>AND($E2&lt;&gt;"",$E2=TODAY())</formula>
    </cfRule>
  </conditionalFormatting>
  <conditionalFormatting sqref="I2:L50">
    <cfRule type="expression" priority="5" dxfId="3">
      <formula>AND($E2&lt;&gt;"",$E2=TODAY())</formula>
    </cfRule>
  </conditionalFormatting>
  <dataValidations count="3">
    <dataValidation sqref="F2:G50" showDropDown="0" showInputMessage="0" showErrorMessage="0" allowBlank="1" errorTitle="正确率" error="请输入 0—100% 之间的数值" type="decimal" operator="between">
      <formula1>0</formula1>
      <formula2>1</formula2>
    </dataValidation>
    <dataValidation sqref="H2:H50" showDropDown="0" showInputMessage="0" showErrorMessage="0" allowBlank="1" type="list">
      <formula1>"✓,✗,—"</formula1>
    </dataValidation>
    <dataValidation sqref="I2:I50" showDropDown="0" showInputMessage="0" showErrorMessage="0" allowBlank="1" type="whole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44" customWidth="1" min="8" max="8"/>
  </cols>
  <sheetData>
    <row r="1">
      <c r="A1" s="25" t="inlineStr">
        <is>
          <t>周次</t>
        </is>
      </c>
      <c r="B1" s="25" t="inlineStr">
        <is>
          <t>抽测词数</t>
        </is>
      </c>
      <c r="C1" s="25" t="inlineStr">
        <is>
          <t>遮中文%</t>
        </is>
      </c>
      <c r="D1" s="25" t="inlineStr">
        <is>
          <t>遮英文%</t>
        </is>
      </c>
      <c r="E1" s="25" t="inlineStr">
        <is>
          <t>中文门槛</t>
        </is>
      </c>
      <c r="F1" s="25" t="inlineStr">
        <is>
          <t>英文门槛</t>
        </is>
      </c>
      <c r="G1" s="25" t="inlineStr">
        <is>
          <t>结论</t>
        </is>
      </c>
      <c r="H1" s="25" t="inlineStr">
        <is>
          <t>本周调整</t>
        </is>
      </c>
    </row>
    <row r="2">
      <c r="A2" s="15" t="inlineStr">
        <is>
          <t>第1周</t>
        </is>
      </c>
      <c r="B2" s="19" t="n"/>
      <c r="C2" s="18" t="n"/>
      <c r="D2" s="18" t="n"/>
      <c r="E2" s="20" t="n">
        <v>0.7</v>
      </c>
      <c r="F2" s="20" t="n">
        <v>0.5</v>
      </c>
      <c r="G2" s="15">
        <f>IF(C2="","",IF(AND(C2&gt;=E2,IF(F2="",TRUE,D2&gt;=F2)),"达标","未达标"))</f>
        <v/>
      </c>
      <c r="H2" s="26" t="n"/>
    </row>
    <row r="3">
      <c r="A3" s="15" t="inlineStr">
        <is>
          <t>第2周</t>
        </is>
      </c>
      <c r="B3" s="19" t="n"/>
      <c r="C3" s="18" t="n"/>
      <c r="D3" s="18" t="n"/>
      <c r="E3" s="20" t="n">
        <v>0.75</v>
      </c>
      <c r="F3" s="20" t="n">
        <v>0.55</v>
      </c>
      <c r="G3" s="15">
        <f>IF(C3="","",IF(AND(C3&gt;=E3,IF(F3="",TRUE,D3&gt;=F3)),"达标","未达标"))</f>
        <v/>
      </c>
      <c r="H3" s="26" t="n"/>
    </row>
    <row r="4">
      <c r="A4" s="15" t="inlineStr">
        <is>
          <t>第3周</t>
        </is>
      </c>
      <c r="B4" s="19" t="n"/>
      <c r="C4" s="18" t="n"/>
      <c r="D4" s="18" t="n"/>
      <c r="E4" s="20" t="n">
        <v>0.8</v>
      </c>
      <c r="F4" s="20" t="n">
        <v>0.6</v>
      </c>
      <c r="G4" s="15">
        <f>IF(C4="","",IF(AND(C4&gt;=E4,IF(F4="",TRUE,D4&gt;=F4)),"达标","未达标"))</f>
        <v/>
      </c>
      <c r="H4" s="26" t="n"/>
    </row>
    <row r="5">
      <c r="A5" s="15" t="inlineStr">
        <is>
          <t>第4周</t>
        </is>
      </c>
      <c r="B5" s="19" t="n"/>
      <c r="C5" s="18" t="n"/>
      <c r="D5" s="18" t="n"/>
      <c r="E5" s="20" t="n">
        <v>0.85</v>
      </c>
      <c r="F5" s="20" t="n">
        <v>0.65</v>
      </c>
      <c r="G5" s="15">
        <f>IF(C5="","",IF(AND(C5&gt;=E5,IF(F5="",TRUE,D5&gt;=F5)),"达标","未达标"))</f>
        <v/>
      </c>
      <c r="H5" s="26" t="n"/>
    </row>
    <row r="6">
      <c r="A6" s="15" t="inlineStr">
        <is>
          <t>第5周</t>
        </is>
      </c>
      <c r="B6" s="19" t="n"/>
      <c r="C6" s="18" t="n"/>
      <c r="D6" s="18" t="n"/>
      <c r="E6" s="20" t="n">
        <v>0.65</v>
      </c>
      <c r="F6" s="20" t="n">
        <v>0.6</v>
      </c>
      <c r="G6" s="15">
        <f>IF(C6="","",IF(AND(C6&gt;=E6,IF(F6="",TRUE,D6&gt;=F6)),"达标","未达标"))</f>
        <v/>
      </c>
      <c r="H6" s="26" t="n"/>
    </row>
    <row r="7">
      <c r="A7" s="15" t="inlineStr">
        <is>
          <t>第6周</t>
        </is>
      </c>
      <c r="B7" s="19" t="n"/>
      <c r="C7" s="18" t="n"/>
      <c r="D7" s="18" t="n"/>
      <c r="E7" s="20" t="n">
        <v>0.8</v>
      </c>
      <c r="F7" s="20" t="n">
        <v>0.7</v>
      </c>
      <c r="G7" s="15">
        <f>IF(C7="","",IF(AND(C7&gt;=E7,IF(F7="",TRUE,D7&gt;=F7)),"达标","未达标"))</f>
        <v/>
      </c>
      <c r="H7" s="26" t="n"/>
    </row>
    <row r="8">
      <c r="A8" s="15" t="inlineStr">
        <is>
          <t>第7周</t>
        </is>
      </c>
      <c r="B8" s="19" t="n"/>
      <c r="C8" s="18" t="n"/>
      <c r="D8" s="18" t="n"/>
      <c r="E8" s="20" t="n"/>
      <c r="F8" s="20" t="n"/>
      <c r="G8" s="15">
        <f>IF(C8="","",IF(AND(C8&gt;=E8,IF(F8="",TRUE,D8&gt;=F8)),"达标","未达标"))</f>
        <v/>
      </c>
      <c r="H8" s="26" t="n"/>
    </row>
  </sheetData>
  <conditionalFormatting sqref="G2:G8">
    <cfRule type="cellIs" priority="1" operator="equal" dxfId="2">
      <formula>"达标"</formula>
    </cfRule>
    <cfRule type="cellIs" priority="2" operator="equal" dxfId="0">
      <formula>"未达标"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30" customWidth="1" min="4" max="4"/>
    <col width="32" customWidth="1" min="5" max="5"/>
    <col width="13" customWidth="1" min="6" max="6"/>
    <col width="12" customWidth="1" min="7" max="7"/>
  </cols>
  <sheetData>
    <row r="1" ht="28" customHeight="1">
      <c r="A1" s="27" t="inlineStr">
        <is>
          <t>序号</t>
        </is>
      </c>
      <c r="B1" s="27" t="inlineStr">
        <is>
          <t>词</t>
        </is>
      </c>
      <c r="C1" s="27" t="inlineStr">
        <is>
          <t>我记错的意思</t>
        </is>
      </c>
      <c r="D1" s="27" t="inlineStr">
        <is>
          <t>正确义项</t>
        </is>
      </c>
      <c r="E1" s="27" t="inlineStr">
        <is>
          <t>一个搭配</t>
        </is>
      </c>
      <c r="F1" s="27" t="inlineStr">
        <is>
          <t>连续答对次数</t>
        </is>
      </c>
      <c r="G1" s="27" t="inlineStr">
        <is>
          <t>状态</t>
        </is>
      </c>
    </row>
    <row r="2">
      <c r="A2" s="28" t="n">
        <v>1</v>
      </c>
      <c r="B2" s="29" t="n"/>
      <c r="C2" s="29" t="n"/>
      <c r="D2" s="29" t="n"/>
      <c r="E2" s="29" t="n"/>
      <c r="F2" s="29" t="n"/>
      <c r="G2" s="29">
        <f>IF(B2="","",IF(F2&gt;=3,"已掌握",IF(F2&gt;=1,"进行中","新错词")))</f>
        <v/>
      </c>
    </row>
    <row r="3">
      <c r="A3" s="28" t="n">
        <v>2</v>
      </c>
      <c r="B3" s="29" t="n"/>
      <c r="C3" s="29" t="n"/>
      <c r="D3" s="29" t="n"/>
      <c r="E3" s="29" t="n"/>
      <c r="F3" s="29" t="n"/>
      <c r="G3" s="29">
        <f>IF(B3="","",IF(F3&gt;=3,"已掌握",IF(F3&gt;=1,"进行中","新错词")))</f>
        <v/>
      </c>
    </row>
    <row r="4">
      <c r="A4" s="28" t="n">
        <v>3</v>
      </c>
      <c r="B4" s="29" t="n"/>
      <c r="C4" s="29" t="n"/>
      <c r="D4" s="29" t="n"/>
      <c r="E4" s="29" t="n"/>
      <c r="F4" s="29" t="n"/>
      <c r="G4" s="29">
        <f>IF(B4="","",IF(F4&gt;=3,"已掌握",IF(F4&gt;=1,"进行中","新错词")))</f>
        <v/>
      </c>
    </row>
    <row r="5">
      <c r="A5" s="28" t="n">
        <v>4</v>
      </c>
      <c r="B5" s="29" t="n"/>
      <c r="C5" s="29" t="n"/>
      <c r="D5" s="29" t="n"/>
      <c r="E5" s="29" t="n"/>
      <c r="F5" s="29" t="n"/>
      <c r="G5" s="29">
        <f>IF(B5="","",IF(F5&gt;=3,"已掌握",IF(F5&gt;=1,"进行中","新错词")))</f>
        <v/>
      </c>
    </row>
    <row r="6">
      <c r="A6" s="28" t="n">
        <v>5</v>
      </c>
      <c r="B6" s="29" t="n"/>
      <c r="C6" s="29" t="n"/>
      <c r="D6" s="29" t="n"/>
      <c r="E6" s="29" t="n"/>
      <c r="F6" s="29" t="n"/>
      <c r="G6" s="29">
        <f>IF(B6="","",IF(F6&gt;=3,"已掌握",IF(F6&gt;=1,"进行中","新错词")))</f>
        <v/>
      </c>
    </row>
    <row r="7">
      <c r="A7" s="28" t="n">
        <v>6</v>
      </c>
      <c r="B7" s="29" t="n"/>
      <c r="C7" s="29" t="n"/>
      <c r="D7" s="29" t="n"/>
      <c r="E7" s="29" t="n"/>
      <c r="F7" s="29" t="n"/>
      <c r="G7" s="29">
        <f>IF(B7="","",IF(F7&gt;=3,"已掌握",IF(F7&gt;=1,"进行中","新错词")))</f>
        <v/>
      </c>
    </row>
    <row r="8">
      <c r="A8" s="28" t="n">
        <v>7</v>
      </c>
      <c r="B8" s="29" t="n"/>
      <c r="C8" s="29" t="n"/>
      <c r="D8" s="29" t="n"/>
      <c r="E8" s="29" t="n"/>
      <c r="F8" s="29" t="n"/>
      <c r="G8" s="29">
        <f>IF(B8="","",IF(F8&gt;=3,"已掌握",IF(F8&gt;=1,"进行中","新错词")))</f>
        <v/>
      </c>
    </row>
    <row r="9">
      <c r="A9" s="28" t="n">
        <v>8</v>
      </c>
      <c r="B9" s="29" t="n"/>
      <c r="C9" s="29" t="n"/>
      <c r="D9" s="29" t="n"/>
      <c r="E9" s="29" t="n"/>
      <c r="F9" s="29" t="n"/>
      <c r="G9" s="29">
        <f>IF(B9="","",IF(F9&gt;=3,"已掌握",IF(F9&gt;=1,"进行中","新错词")))</f>
        <v/>
      </c>
    </row>
    <row r="10">
      <c r="A10" s="28" t="n">
        <v>9</v>
      </c>
      <c r="B10" s="29" t="n"/>
      <c r="C10" s="29" t="n"/>
      <c r="D10" s="29" t="n"/>
      <c r="E10" s="29" t="n"/>
      <c r="F10" s="29" t="n"/>
      <c r="G10" s="29">
        <f>IF(B10="","",IF(F10&gt;=3,"已掌握",IF(F10&gt;=1,"进行中","新错词")))</f>
        <v/>
      </c>
    </row>
    <row r="11">
      <c r="A11" s="28" t="n">
        <v>10</v>
      </c>
      <c r="B11" s="29" t="n"/>
      <c r="C11" s="29" t="n"/>
      <c r="D11" s="29" t="n"/>
      <c r="E11" s="29" t="n"/>
      <c r="F11" s="29" t="n"/>
      <c r="G11" s="29">
        <f>IF(B11="","",IF(F11&gt;=3,"已掌握",IF(F11&gt;=1,"进行中","新错词")))</f>
        <v/>
      </c>
    </row>
    <row r="12">
      <c r="A12" s="28" t="n">
        <v>11</v>
      </c>
      <c r="B12" s="29" t="n"/>
      <c r="C12" s="29" t="n"/>
      <c r="D12" s="29" t="n"/>
      <c r="E12" s="29" t="n"/>
      <c r="F12" s="29" t="n"/>
      <c r="G12" s="29">
        <f>IF(B12="","",IF(F12&gt;=3,"已掌握",IF(F12&gt;=1,"进行中","新错词")))</f>
        <v/>
      </c>
    </row>
    <row r="13">
      <c r="A13" s="28" t="n">
        <v>12</v>
      </c>
      <c r="B13" s="29" t="n"/>
      <c r="C13" s="29" t="n"/>
      <c r="D13" s="29" t="n"/>
      <c r="E13" s="29" t="n"/>
      <c r="F13" s="29" t="n"/>
      <c r="G13" s="29">
        <f>IF(B13="","",IF(F13&gt;=3,"已掌握",IF(F13&gt;=1,"进行中","新错词")))</f>
        <v/>
      </c>
    </row>
    <row r="14">
      <c r="A14" s="28" t="n">
        <v>13</v>
      </c>
      <c r="B14" s="29" t="n"/>
      <c r="C14" s="29" t="n"/>
      <c r="D14" s="29" t="n"/>
      <c r="E14" s="29" t="n"/>
      <c r="F14" s="29" t="n"/>
      <c r="G14" s="29">
        <f>IF(B14="","",IF(F14&gt;=3,"已掌握",IF(F14&gt;=1,"进行中","新错词")))</f>
        <v/>
      </c>
    </row>
    <row r="15">
      <c r="A15" s="28" t="n">
        <v>14</v>
      </c>
      <c r="B15" s="29" t="n"/>
      <c r="C15" s="29" t="n"/>
      <c r="D15" s="29" t="n"/>
      <c r="E15" s="29" t="n"/>
      <c r="F15" s="29" t="n"/>
      <c r="G15" s="29">
        <f>IF(B15="","",IF(F15&gt;=3,"已掌握",IF(F15&gt;=1,"进行中","新错词")))</f>
        <v/>
      </c>
    </row>
    <row r="16">
      <c r="A16" s="28" t="n">
        <v>15</v>
      </c>
      <c r="B16" s="29" t="n"/>
      <c r="C16" s="29" t="n"/>
      <c r="D16" s="29" t="n"/>
      <c r="E16" s="29" t="n"/>
      <c r="F16" s="29" t="n"/>
      <c r="G16" s="29">
        <f>IF(B16="","",IF(F16&gt;=3,"已掌握",IF(F16&gt;=1,"进行中","新错词")))</f>
        <v/>
      </c>
    </row>
    <row r="17">
      <c r="A17" s="28" t="n">
        <v>16</v>
      </c>
      <c r="B17" s="29" t="n"/>
      <c r="C17" s="29" t="n"/>
      <c r="D17" s="29" t="n"/>
      <c r="E17" s="29" t="n"/>
      <c r="F17" s="29" t="n"/>
      <c r="G17" s="29">
        <f>IF(B17="","",IF(F17&gt;=3,"已掌握",IF(F17&gt;=1,"进行中","新错词")))</f>
        <v/>
      </c>
    </row>
    <row r="18">
      <c r="A18" s="28" t="n">
        <v>17</v>
      </c>
      <c r="B18" s="29" t="n"/>
      <c r="C18" s="29" t="n"/>
      <c r="D18" s="29" t="n"/>
      <c r="E18" s="29" t="n"/>
      <c r="F18" s="29" t="n"/>
      <c r="G18" s="29">
        <f>IF(B18="","",IF(F18&gt;=3,"已掌握",IF(F18&gt;=1,"进行中","新错词")))</f>
        <v/>
      </c>
    </row>
    <row r="19">
      <c r="A19" s="28" t="n">
        <v>18</v>
      </c>
      <c r="B19" s="29" t="n"/>
      <c r="C19" s="29" t="n"/>
      <c r="D19" s="29" t="n"/>
      <c r="E19" s="29" t="n"/>
      <c r="F19" s="29" t="n"/>
      <c r="G19" s="29">
        <f>IF(B19="","",IF(F19&gt;=3,"已掌握",IF(F19&gt;=1,"进行中","新错词")))</f>
        <v/>
      </c>
    </row>
    <row r="20">
      <c r="A20" s="28" t="n">
        <v>19</v>
      </c>
      <c r="B20" s="29" t="n"/>
      <c r="C20" s="29" t="n"/>
      <c r="D20" s="29" t="n"/>
      <c r="E20" s="29" t="n"/>
      <c r="F20" s="29" t="n"/>
      <c r="G20" s="29">
        <f>IF(B20="","",IF(F20&gt;=3,"已掌握",IF(F20&gt;=1,"进行中","新错词")))</f>
        <v/>
      </c>
    </row>
    <row r="21">
      <c r="A21" s="28" t="n">
        <v>20</v>
      </c>
      <c r="B21" s="29" t="n"/>
      <c r="C21" s="29" t="n"/>
      <c r="D21" s="29" t="n"/>
      <c r="E21" s="29" t="n"/>
      <c r="F21" s="29" t="n"/>
      <c r="G21" s="29">
        <f>IF(B21="","",IF(F21&gt;=3,"已掌握",IF(F21&gt;=1,"进行中","新错词")))</f>
        <v/>
      </c>
    </row>
    <row r="22">
      <c r="A22" s="28" t="n">
        <v>21</v>
      </c>
      <c r="B22" s="29" t="n"/>
      <c r="C22" s="29" t="n"/>
      <c r="D22" s="29" t="n"/>
      <c r="E22" s="29" t="n"/>
      <c r="F22" s="29" t="n"/>
      <c r="G22" s="29">
        <f>IF(B22="","",IF(F22&gt;=3,"已掌握",IF(F22&gt;=1,"进行中","新错词")))</f>
        <v/>
      </c>
    </row>
    <row r="23">
      <c r="A23" s="28" t="n">
        <v>22</v>
      </c>
      <c r="B23" s="29" t="n"/>
      <c r="C23" s="29" t="n"/>
      <c r="D23" s="29" t="n"/>
      <c r="E23" s="29" t="n"/>
      <c r="F23" s="29" t="n"/>
      <c r="G23" s="29">
        <f>IF(B23="","",IF(F23&gt;=3,"已掌握",IF(F23&gt;=1,"进行中","新错词")))</f>
        <v/>
      </c>
    </row>
    <row r="24">
      <c r="A24" s="28" t="n">
        <v>23</v>
      </c>
      <c r="B24" s="29" t="n"/>
      <c r="C24" s="29" t="n"/>
      <c r="D24" s="29" t="n"/>
      <c r="E24" s="29" t="n"/>
      <c r="F24" s="29" t="n"/>
      <c r="G24" s="29">
        <f>IF(B24="","",IF(F24&gt;=3,"已掌握",IF(F24&gt;=1,"进行中","新错词")))</f>
        <v/>
      </c>
    </row>
    <row r="25">
      <c r="A25" s="28" t="n">
        <v>24</v>
      </c>
      <c r="B25" s="29" t="n"/>
      <c r="C25" s="29" t="n"/>
      <c r="D25" s="29" t="n"/>
      <c r="E25" s="29" t="n"/>
      <c r="F25" s="29" t="n"/>
      <c r="G25" s="29">
        <f>IF(B25="","",IF(F25&gt;=3,"已掌握",IF(F25&gt;=1,"进行中","新错词")))</f>
        <v/>
      </c>
    </row>
    <row r="26">
      <c r="A26" s="28" t="n">
        <v>25</v>
      </c>
      <c r="B26" s="29" t="n"/>
      <c r="C26" s="29" t="n"/>
      <c r="D26" s="29" t="n"/>
      <c r="E26" s="29" t="n"/>
      <c r="F26" s="29" t="n"/>
      <c r="G26" s="29">
        <f>IF(B26="","",IF(F26&gt;=3,"已掌握",IF(F26&gt;=1,"进行中","新错词")))</f>
        <v/>
      </c>
    </row>
    <row r="27">
      <c r="A27" s="28" t="n">
        <v>26</v>
      </c>
      <c r="B27" s="29" t="n"/>
      <c r="C27" s="29" t="n"/>
      <c r="D27" s="29" t="n"/>
      <c r="E27" s="29" t="n"/>
      <c r="F27" s="29" t="n"/>
      <c r="G27" s="29">
        <f>IF(B27="","",IF(F27&gt;=3,"已掌握",IF(F27&gt;=1,"进行中","新错词")))</f>
        <v/>
      </c>
    </row>
    <row r="28">
      <c r="A28" s="28" t="n">
        <v>27</v>
      </c>
      <c r="B28" s="29" t="n"/>
      <c r="C28" s="29" t="n"/>
      <c r="D28" s="29" t="n"/>
      <c r="E28" s="29" t="n"/>
      <c r="F28" s="29" t="n"/>
      <c r="G28" s="29">
        <f>IF(B28="","",IF(F28&gt;=3,"已掌握",IF(F28&gt;=1,"进行中","新错词")))</f>
        <v/>
      </c>
    </row>
    <row r="29">
      <c r="A29" s="28" t="n">
        <v>28</v>
      </c>
      <c r="B29" s="29" t="n"/>
      <c r="C29" s="29" t="n"/>
      <c r="D29" s="29" t="n"/>
      <c r="E29" s="29" t="n"/>
      <c r="F29" s="29" t="n"/>
      <c r="G29" s="29">
        <f>IF(B29="","",IF(F29&gt;=3,"已掌握",IF(F29&gt;=1,"进行中","新错词")))</f>
        <v/>
      </c>
    </row>
    <row r="30">
      <c r="A30" s="28" t="n">
        <v>29</v>
      </c>
      <c r="B30" s="29" t="n"/>
      <c r="C30" s="29" t="n"/>
      <c r="D30" s="29" t="n"/>
      <c r="E30" s="29" t="n"/>
      <c r="F30" s="29" t="n"/>
      <c r="G30" s="29">
        <f>IF(B30="","",IF(F30&gt;=3,"已掌握",IF(F30&gt;=1,"进行中","新错词")))</f>
        <v/>
      </c>
    </row>
    <row r="31">
      <c r="A31" s="28" t="n">
        <v>30</v>
      </c>
      <c r="B31" s="29" t="n"/>
      <c r="C31" s="29" t="n"/>
      <c r="D31" s="29" t="n"/>
      <c r="E31" s="29" t="n"/>
      <c r="F31" s="29" t="n"/>
      <c r="G31" s="29">
        <f>IF(B31="","",IF(F31&gt;=3,"已掌握",IF(F31&gt;=1,"进行中","新错词")))</f>
        <v/>
      </c>
    </row>
    <row r="32">
      <c r="A32" s="28" t="n">
        <v>31</v>
      </c>
      <c r="B32" s="29" t="n"/>
      <c r="C32" s="29" t="n"/>
      <c r="D32" s="29" t="n"/>
      <c r="E32" s="29" t="n"/>
      <c r="F32" s="29" t="n"/>
      <c r="G32" s="29">
        <f>IF(B32="","",IF(F32&gt;=3,"已掌握",IF(F32&gt;=1,"进行中","新错词")))</f>
        <v/>
      </c>
    </row>
    <row r="33">
      <c r="A33" s="28" t="n">
        <v>32</v>
      </c>
      <c r="B33" s="29" t="n"/>
      <c r="C33" s="29" t="n"/>
      <c r="D33" s="29" t="n"/>
      <c r="E33" s="29" t="n"/>
      <c r="F33" s="29" t="n"/>
      <c r="G33" s="29">
        <f>IF(B33="","",IF(F33&gt;=3,"已掌握",IF(F33&gt;=1,"进行中","新错词")))</f>
        <v/>
      </c>
    </row>
    <row r="34">
      <c r="A34" s="28" t="n">
        <v>33</v>
      </c>
      <c r="B34" s="29" t="n"/>
      <c r="C34" s="29" t="n"/>
      <c r="D34" s="29" t="n"/>
      <c r="E34" s="29" t="n"/>
      <c r="F34" s="29" t="n"/>
      <c r="G34" s="29">
        <f>IF(B34="","",IF(F34&gt;=3,"已掌握",IF(F34&gt;=1,"进行中","新错词")))</f>
        <v/>
      </c>
    </row>
    <row r="35">
      <c r="A35" s="28" t="n">
        <v>34</v>
      </c>
      <c r="B35" s="29" t="n"/>
      <c r="C35" s="29" t="n"/>
      <c r="D35" s="29" t="n"/>
      <c r="E35" s="29" t="n"/>
      <c r="F35" s="29" t="n"/>
      <c r="G35" s="29">
        <f>IF(B35="","",IF(F35&gt;=3,"已掌握",IF(F35&gt;=1,"进行中","新错词")))</f>
        <v/>
      </c>
    </row>
    <row r="36">
      <c r="A36" s="28" t="n">
        <v>35</v>
      </c>
      <c r="B36" s="29" t="n"/>
      <c r="C36" s="29" t="n"/>
      <c r="D36" s="29" t="n"/>
      <c r="E36" s="29" t="n"/>
      <c r="F36" s="29" t="n"/>
      <c r="G36" s="29">
        <f>IF(B36="","",IF(F36&gt;=3,"已掌握",IF(F36&gt;=1,"进行中","新错词")))</f>
        <v/>
      </c>
    </row>
    <row r="37">
      <c r="A37" s="28" t="n">
        <v>36</v>
      </c>
      <c r="B37" s="29" t="n"/>
      <c r="C37" s="29" t="n"/>
      <c r="D37" s="29" t="n"/>
      <c r="E37" s="29" t="n"/>
      <c r="F37" s="29" t="n"/>
      <c r="G37" s="29">
        <f>IF(B37="","",IF(F37&gt;=3,"已掌握",IF(F37&gt;=1,"进行中","新错词")))</f>
        <v/>
      </c>
    </row>
    <row r="38">
      <c r="A38" s="28" t="n">
        <v>37</v>
      </c>
      <c r="B38" s="29" t="n"/>
      <c r="C38" s="29" t="n"/>
      <c r="D38" s="29" t="n"/>
      <c r="E38" s="29" t="n"/>
      <c r="F38" s="29" t="n"/>
      <c r="G38" s="29">
        <f>IF(B38="","",IF(F38&gt;=3,"已掌握",IF(F38&gt;=1,"进行中","新错词")))</f>
        <v/>
      </c>
    </row>
    <row r="39">
      <c r="A39" s="28" t="n">
        <v>38</v>
      </c>
      <c r="B39" s="29" t="n"/>
      <c r="C39" s="29" t="n"/>
      <c r="D39" s="29" t="n"/>
      <c r="E39" s="29" t="n"/>
      <c r="F39" s="29" t="n"/>
      <c r="G39" s="29">
        <f>IF(B39="","",IF(F39&gt;=3,"已掌握",IF(F39&gt;=1,"进行中","新错词")))</f>
        <v/>
      </c>
    </row>
    <row r="40">
      <c r="A40" s="28" t="n">
        <v>39</v>
      </c>
      <c r="B40" s="29" t="n"/>
      <c r="C40" s="29" t="n"/>
      <c r="D40" s="29" t="n"/>
      <c r="E40" s="29" t="n"/>
      <c r="F40" s="29" t="n"/>
      <c r="G40" s="29">
        <f>IF(B40="","",IF(F40&gt;=3,"已掌握",IF(F40&gt;=1,"进行中","新错词")))</f>
        <v/>
      </c>
    </row>
    <row r="41">
      <c r="A41" s="28" t="n">
        <v>40</v>
      </c>
      <c r="B41" s="29" t="n"/>
      <c r="C41" s="29" t="n"/>
      <c r="D41" s="29" t="n"/>
      <c r="E41" s="29" t="n"/>
      <c r="F41" s="29" t="n"/>
      <c r="G41" s="29">
        <f>IF(B41="","",IF(F41&gt;=3,"已掌握",IF(F41&gt;=1,"进行中","新错词")))</f>
        <v/>
      </c>
    </row>
    <row r="42">
      <c r="A42" s="28" t="n">
        <v>41</v>
      </c>
      <c r="B42" s="29" t="n"/>
      <c r="C42" s="29" t="n"/>
      <c r="D42" s="29" t="n"/>
      <c r="E42" s="29" t="n"/>
      <c r="F42" s="29" t="n"/>
      <c r="G42" s="29">
        <f>IF(B42="","",IF(F42&gt;=3,"已掌握",IF(F42&gt;=1,"进行中","新错词")))</f>
        <v/>
      </c>
    </row>
    <row r="43">
      <c r="A43" s="28" t="n">
        <v>42</v>
      </c>
      <c r="B43" s="29" t="n"/>
      <c r="C43" s="29" t="n"/>
      <c r="D43" s="29" t="n"/>
      <c r="E43" s="29" t="n"/>
      <c r="F43" s="29" t="n"/>
      <c r="G43" s="29">
        <f>IF(B43="","",IF(F43&gt;=3,"已掌握",IF(F43&gt;=1,"进行中","新错词")))</f>
        <v/>
      </c>
    </row>
    <row r="44">
      <c r="A44" s="28" t="n">
        <v>43</v>
      </c>
      <c r="B44" s="29" t="n"/>
      <c r="C44" s="29" t="n"/>
      <c r="D44" s="29" t="n"/>
      <c r="E44" s="29" t="n"/>
      <c r="F44" s="29" t="n"/>
      <c r="G44" s="29">
        <f>IF(B44="","",IF(F44&gt;=3,"已掌握",IF(F44&gt;=1,"进行中","新错词")))</f>
        <v/>
      </c>
    </row>
    <row r="45">
      <c r="A45" s="28" t="n">
        <v>44</v>
      </c>
      <c r="B45" s="29" t="n"/>
      <c r="C45" s="29" t="n"/>
      <c r="D45" s="29" t="n"/>
      <c r="E45" s="29" t="n"/>
      <c r="F45" s="29" t="n"/>
      <c r="G45" s="29">
        <f>IF(B45="","",IF(F45&gt;=3,"已掌握",IF(F45&gt;=1,"进行中","新错词")))</f>
        <v/>
      </c>
    </row>
    <row r="46">
      <c r="A46" s="28" t="n">
        <v>45</v>
      </c>
      <c r="B46" s="29" t="n"/>
      <c r="C46" s="29" t="n"/>
      <c r="D46" s="29" t="n"/>
      <c r="E46" s="29" t="n"/>
      <c r="F46" s="29" t="n"/>
      <c r="G46" s="29">
        <f>IF(B46="","",IF(F46&gt;=3,"已掌握",IF(F46&gt;=1,"进行中","新错词")))</f>
        <v/>
      </c>
    </row>
    <row r="47">
      <c r="A47" s="28" t="n">
        <v>46</v>
      </c>
      <c r="B47" s="29" t="n"/>
      <c r="C47" s="29" t="n"/>
      <c r="D47" s="29" t="n"/>
      <c r="E47" s="29" t="n"/>
      <c r="F47" s="29" t="n"/>
      <c r="G47" s="29">
        <f>IF(B47="","",IF(F47&gt;=3,"已掌握",IF(F47&gt;=1,"进行中","新错词")))</f>
        <v/>
      </c>
    </row>
    <row r="48">
      <c r="A48" s="28" t="n">
        <v>47</v>
      </c>
      <c r="B48" s="29" t="n"/>
      <c r="C48" s="29" t="n"/>
      <c r="D48" s="29" t="n"/>
      <c r="E48" s="29" t="n"/>
      <c r="F48" s="29" t="n"/>
      <c r="G48" s="29">
        <f>IF(B48="","",IF(F48&gt;=3,"已掌握",IF(F48&gt;=1,"进行中","新错词")))</f>
        <v/>
      </c>
    </row>
    <row r="49">
      <c r="A49" s="28" t="n">
        <v>48</v>
      </c>
      <c r="B49" s="29" t="n"/>
      <c r="C49" s="29" t="n"/>
      <c r="D49" s="29" t="n"/>
      <c r="E49" s="29" t="n"/>
      <c r="F49" s="29" t="n"/>
      <c r="G49" s="29">
        <f>IF(B49="","",IF(F49&gt;=3,"已掌握",IF(F49&gt;=1,"进行中","新错词")))</f>
        <v/>
      </c>
    </row>
    <row r="50">
      <c r="A50" s="28" t="n">
        <v>49</v>
      </c>
      <c r="B50" s="29" t="n"/>
      <c r="C50" s="29" t="n"/>
      <c r="D50" s="29" t="n"/>
      <c r="E50" s="29" t="n"/>
      <c r="F50" s="29" t="n"/>
      <c r="G50" s="29">
        <f>IF(B50="","",IF(F50&gt;=3,"已掌握",IF(F50&gt;=1,"进行中","新错词")))</f>
        <v/>
      </c>
    </row>
    <row r="51">
      <c r="A51" s="28" t="n">
        <v>50</v>
      </c>
      <c r="B51" s="29" t="n"/>
      <c r="C51" s="29" t="n"/>
      <c r="D51" s="29" t="n"/>
      <c r="E51" s="29" t="n"/>
      <c r="F51" s="29" t="n"/>
      <c r="G51" s="29">
        <f>IF(B51="","",IF(F51&gt;=3,"已掌握",IF(F51&gt;=1,"进行中","新错词")))</f>
        <v/>
      </c>
    </row>
    <row r="52">
      <c r="A52" s="28" t="n">
        <v>51</v>
      </c>
      <c r="B52" s="29" t="n"/>
      <c r="C52" s="29" t="n"/>
      <c r="D52" s="29" t="n"/>
      <c r="E52" s="29" t="n"/>
      <c r="F52" s="29" t="n"/>
      <c r="G52" s="29">
        <f>IF(B52="","",IF(F52&gt;=3,"已掌握",IF(F52&gt;=1,"进行中","新错词")))</f>
        <v/>
      </c>
    </row>
    <row r="53">
      <c r="A53" s="28" t="n">
        <v>52</v>
      </c>
      <c r="B53" s="29" t="n"/>
      <c r="C53" s="29" t="n"/>
      <c r="D53" s="29" t="n"/>
      <c r="E53" s="29" t="n"/>
      <c r="F53" s="29" t="n"/>
      <c r="G53" s="29">
        <f>IF(B53="","",IF(F53&gt;=3,"已掌握",IF(F53&gt;=1,"进行中","新错词")))</f>
        <v/>
      </c>
    </row>
    <row r="54">
      <c r="A54" s="28" t="n">
        <v>53</v>
      </c>
      <c r="B54" s="29" t="n"/>
      <c r="C54" s="29" t="n"/>
      <c r="D54" s="29" t="n"/>
      <c r="E54" s="29" t="n"/>
      <c r="F54" s="29" t="n"/>
      <c r="G54" s="29">
        <f>IF(B54="","",IF(F54&gt;=3,"已掌握",IF(F54&gt;=1,"进行中","新错词")))</f>
        <v/>
      </c>
    </row>
    <row r="55">
      <c r="A55" s="28" t="n">
        <v>54</v>
      </c>
      <c r="B55" s="29" t="n"/>
      <c r="C55" s="29" t="n"/>
      <c r="D55" s="29" t="n"/>
      <c r="E55" s="29" t="n"/>
      <c r="F55" s="29" t="n"/>
      <c r="G55" s="29">
        <f>IF(B55="","",IF(F55&gt;=3,"已掌握",IF(F55&gt;=1,"进行中","新错词")))</f>
        <v/>
      </c>
    </row>
    <row r="56">
      <c r="A56" s="28" t="n">
        <v>55</v>
      </c>
      <c r="B56" s="29" t="n"/>
      <c r="C56" s="29" t="n"/>
      <c r="D56" s="29" t="n"/>
      <c r="E56" s="29" t="n"/>
      <c r="F56" s="29" t="n"/>
      <c r="G56" s="29">
        <f>IF(B56="","",IF(F56&gt;=3,"已掌握",IF(F56&gt;=1,"进行中","新错词")))</f>
        <v/>
      </c>
    </row>
    <row r="57">
      <c r="A57" s="28" t="n">
        <v>56</v>
      </c>
      <c r="B57" s="29" t="n"/>
      <c r="C57" s="29" t="n"/>
      <c r="D57" s="29" t="n"/>
      <c r="E57" s="29" t="n"/>
      <c r="F57" s="29" t="n"/>
      <c r="G57" s="29">
        <f>IF(B57="","",IF(F57&gt;=3,"已掌握",IF(F57&gt;=1,"进行中","新错词")))</f>
        <v/>
      </c>
    </row>
    <row r="58">
      <c r="A58" s="28" t="n">
        <v>57</v>
      </c>
      <c r="B58" s="29" t="n"/>
      <c r="C58" s="29" t="n"/>
      <c r="D58" s="29" t="n"/>
      <c r="E58" s="29" t="n"/>
      <c r="F58" s="29" t="n"/>
      <c r="G58" s="29">
        <f>IF(B58="","",IF(F58&gt;=3,"已掌握",IF(F58&gt;=1,"进行中","新错词")))</f>
        <v/>
      </c>
    </row>
    <row r="59">
      <c r="A59" s="28" t="n">
        <v>58</v>
      </c>
      <c r="B59" s="29" t="n"/>
      <c r="C59" s="29" t="n"/>
      <c r="D59" s="29" t="n"/>
      <c r="E59" s="29" t="n"/>
      <c r="F59" s="29" t="n"/>
      <c r="G59" s="29">
        <f>IF(B59="","",IF(F59&gt;=3,"已掌握",IF(F59&gt;=1,"进行中","新错词")))</f>
        <v/>
      </c>
    </row>
    <row r="60">
      <c r="A60" s="28" t="n">
        <v>59</v>
      </c>
      <c r="B60" s="29" t="n"/>
      <c r="C60" s="29" t="n"/>
      <c r="D60" s="29" t="n"/>
      <c r="E60" s="29" t="n"/>
      <c r="F60" s="29" t="n"/>
      <c r="G60" s="29">
        <f>IF(B60="","",IF(F60&gt;=3,"已掌握",IF(F60&gt;=1,"进行中","新错词")))</f>
        <v/>
      </c>
    </row>
    <row r="61">
      <c r="A61" s="28" t="n">
        <v>60</v>
      </c>
      <c r="B61" s="29" t="n"/>
      <c r="C61" s="29" t="n"/>
      <c r="D61" s="29" t="n"/>
      <c r="E61" s="29" t="n"/>
      <c r="F61" s="29" t="n"/>
      <c r="G61" s="29">
        <f>IF(B61="","",IF(F61&gt;=3,"已掌握",IF(F61&gt;=1,"进行中","新错词")))</f>
        <v/>
      </c>
    </row>
    <row r="62">
      <c r="A62" s="28" t="n">
        <v>61</v>
      </c>
      <c r="B62" s="29" t="n"/>
      <c r="C62" s="29" t="n"/>
      <c r="D62" s="29" t="n"/>
      <c r="E62" s="29" t="n"/>
      <c r="F62" s="29" t="n"/>
      <c r="G62" s="29">
        <f>IF(B62="","",IF(F62&gt;=3,"已掌握",IF(F62&gt;=1,"进行中","新错词")))</f>
        <v/>
      </c>
    </row>
    <row r="63">
      <c r="A63" s="28" t="n">
        <v>62</v>
      </c>
      <c r="B63" s="29" t="n"/>
      <c r="C63" s="29" t="n"/>
      <c r="D63" s="29" t="n"/>
      <c r="E63" s="29" t="n"/>
      <c r="F63" s="29" t="n"/>
      <c r="G63" s="29">
        <f>IF(B63="","",IF(F63&gt;=3,"已掌握",IF(F63&gt;=1,"进行中","新错词")))</f>
        <v/>
      </c>
    </row>
    <row r="64">
      <c r="A64" s="28" t="n">
        <v>63</v>
      </c>
      <c r="B64" s="29" t="n"/>
      <c r="C64" s="29" t="n"/>
      <c r="D64" s="29" t="n"/>
      <c r="E64" s="29" t="n"/>
      <c r="F64" s="29" t="n"/>
      <c r="G64" s="29">
        <f>IF(B64="","",IF(F64&gt;=3,"已掌握",IF(F64&gt;=1,"进行中","新错词")))</f>
        <v/>
      </c>
    </row>
    <row r="65">
      <c r="A65" s="28" t="n">
        <v>64</v>
      </c>
      <c r="B65" s="29" t="n"/>
      <c r="C65" s="29" t="n"/>
      <c r="D65" s="29" t="n"/>
      <c r="E65" s="29" t="n"/>
      <c r="F65" s="29" t="n"/>
      <c r="G65" s="29">
        <f>IF(B65="","",IF(F65&gt;=3,"已掌握",IF(F65&gt;=1,"进行中","新错词")))</f>
        <v/>
      </c>
    </row>
    <row r="66">
      <c r="A66" s="28" t="n">
        <v>65</v>
      </c>
      <c r="B66" s="29" t="n"/>
      <c r="C66" s="29" t="n"/>
      <c r="D66" s="29" t="n"/>
      <c r="E66" s="29" t="n"/>
      <c r="F66" s="29" t="n"/>
      <c r="G66" s="29">
        <f>IF(B66="","",IF(F66&gt;=3,"已掌握",IF(F66&gt;=1,"进行中","新错词")))</f>
        <v/>
      </c>
    </row>
    <row r="67">
      <c r="A67" s="28" t="n">
        <v>66</v>
      </c>
      <c r="B67" s="29" t="n"/>
      <c r="C67" s="29" t="n"/>
      <c r="D67" s="29" t="n"/>
      <c r="E67" s="29" t="n"/>
      <c r="F67" s="29" t="n"/>
      <c r="G67" s="29">
        <f>IF(B67="","",IF(F67&gt;=3,"已掌握",IF(F67&gt;=1,"进行中","新错词")))</f>
        <v/>
      </c>
    </row>
    <row r="68">
      <c r="A68" s="28" t="n">
        <v>67</v>
      </c>
      <c r="B68" s="29" t="n"/>
      <c r="C68" s="29" t="n"/>
      <c r="D68" s="29" t="n"/>
      <c r="E68" s="29" t="n"/>
      <c r="F68" s="29" t="n"/>
      <c r="G68" s="29">
        <f>IF(B68="","",IF(F68&gt;=3,"已掌握",IF(F68&gt;=1,"进行中","新错词")))</f>
        <v/>
      </c>
    </row>
    <row r="69">
      <c r="A69" s="28" t="n">
        <v>68</v>
      </c>
      <c r="B69" s="29" t="n"/>
      <c r="C69" s="29" t="n"/>
      <c r="D69" s="29" t="n"/>
      <c r="E69" s="29" t="n"/>
      <c r="F69" s="29" t="n"/>
      <c r="G69" s="29">
        <f>IF(B69="","",IF(F69&gt;=3,"已掌握",IF(F69&gt;=1,"进行中","新错词")))</f>
        <v/>
      </c>
    </row>
    <row r="70">
      <c r="A70" s="28" t="n">
        <v>69</v>
      </c>
      <c r="B70" s="29" t="n"/>
      <c r="C70" s="29" t="n"/>
      <c r="D70" s="29" t="n"/>
      <c r="E70" s="29" t="n"/>
      <c r="F70" s="29" t="n"/>
      <c r="G70" s="29">
        <f>IF(B70="","",IF(F70&gt;=3,"已掌握",IF(F70&gt;=1,"进行中","新错词")))</f>
        <v/>
      </c>
    </row>
    <row r="71">
      <c r="A71" s="28" t="n">
        <v>70</v>
      </c>
      <c r="B71" s="29" t="n"/>
      <c r="C71" s="29" t="n"/>
      <c r="D71" s="29" t="n"/>
      <c r="E71" s="29" t="n"/>
      <c r="F71" s="29" t="n"/>
      <c r="G71" s="29">
        <f>IF(B71="","",IF(F71&gt;=3,"已掌握",IF(F71&gt;=1,"进行中","新错词")))</f>
        <v/>
      </c>
    </row>
    <row r="72">
      <c r="A72" s="28" t="n">
        <v>71</v>
      </c>
      <c r="B72" s="29" t="n"/>
      <c r="C72" s="29" t="n"/>
      <c r="D72" s="29" t="n"/>
      <c r="E72" s="29" t="n"/>
      <c r="F72" s="29" t="n"/>
      <c r="G72" s="29">
        <f>IF(B72="","",IF(F72&gt;=3,"已掌握",IF(F72&gt;=1,"进行中","新错词")))</f>
        <v/>
      </c>
    </row>
    <row r="73">
      <c r="A73" s="28" t="n">
        <v>72</v>
      </c>
      <c r="B73" s="29" t="n"/>
      <c r="C73" s="29" t="n"/>
      <c r="D73" s="29" t="n"/>
      <c r="E73" s="29" t="n"/>
      <c r="F73" s="29" t="n"/>
      <c r="G73" s="29">
        <f>IF(B73="","",IF(F73&gt;=3,"已掌握",IF(F73&gt;=1,"进行中","新错词")))</f>
        <v/>
      </c>
    </row>
    <row r="74">
      <c r="A74" s="28" t="n">
        <v>73</v>
      </c>
      <c r="B74" s="29" t="n"/>
      <c r="C74" s="29" t="n"/>
      <c r="D74" s="29" t="n"/>
      <c r="E74" s="29" t="n"/>
      <c r="F74" s="29" t="n"/>
      <c r="G74" s="29">
        <f>IF(B74="","",IF(F74&gt;=3,"已掌握",IF(F74&gt;=1,"进行中","新错词")))</f>
        <v/>
      </c>
    </row>
    <row r="75">
      <c r="A75" s="28" t="n">
        <v>74</v>
      </c>
      <c r="B75" s="29" t="n"/>
      <c r="C75" s="29" t="n"/>
      <c r="D75" s="29" t="n"/>
      <c r="E75" s="29" t="n"/>
      <c r="F75" s="29" t="n"/>
      <c r="G75" s="29">
        <f>IF(B75="","",IF(F75&gt;=3,"已掌握",IF(F75&gt;=1,"进行中","新错词")))</f>
        <v/>
      </c>
    </row>
    <row r="76">
      <c r="A76" s="28" t="n">
        <v>75</v>
      </c>
      <c r="B76" s="29" t="n"/>
      <c r="C76" s="29" t="n"/>
      <c r="D76" s="29" t="n"/>
      <c r="E76" s="29" t="n"/>
      <c r="F76" s="29" t="n"/>
      <c r="G76" s="29">
        <f>IF(B76="","",IF(F76&gt;=3,"已掌握",IF(F76&gt;=1,"进行中","新错词")))</f>
        <v/>
      </c>
    </row>
    <row r="77">
      <c r="A77" s="28" t="n">
        <v>76</v>
      </c>
      <c r="B77" s="29" t="n"/>
      <c r="C77" s="29" t="n"/>
      <c r="D77" s="29" t="n"/>
      <c r="E77" s="29" t="n"/>
      <c r="F77" s="29" t="n"/>
      <c r="G77" s="29">
        <f>IF(B77="","",IF(F77&gt;=3,"已掌握",IF(F77&gt;=1,"进行中","新错词")))</f>
        <v/>
      </c>
    </row>
    <row r="78">
      <c r="A78" s="28" t="n">
        <v>77</v>
      </c>
      <c r="B78" s="29" t="n"/>
      <c r="C78" s="29" t="n"/>
      <c r="D78" s="29" t="n"/>
      <c r="E78" s="29" t="n"/>
      <c r="F78" s="29" t="n"/>
      <c r="G78" s="29">
        <f>IF(B78="","",IF(F78&gt;=3,"已掌握",IF(F78&gt;=1,"进行中","新错词")))</f>
        <v/>
      </c>
    </row>
    <row r="79">
      <c r="A79" s="28" t="n">
        <v>78</v>
      </c>
      <c r="B79" s="29" t="n"/>
      <c r="C79" s="29" t="n"/>
      <c r="D79" s="29" t="n"/>
      <c r="E79" s="29" t="n"/>
      <c r="F79" s="29" t="n"/>
      <c r="G79" s="29">
        <f>IF(B79="","",IF(F79&gt;=3,"已掌握",IF(F79&gt;=1,"进行中","新错词")))</f>
        <v/>
      </c>
    </row>
    <row r="80">
      <c r="A80" s="28" t="n">
        <v>79</v>
      </c>
      <c r="B80" s="29" t="n"/>
      <c r="C80" s="29" t="n"/>
      <c r="D80" s="29" t="n"/>
      <c r="E80" s="29" t="n"/>
      <c r="F80" s="29" t="n"/>
      <c r="G80" s="29">
        <f>IF(B80="","",IF(F80&gt;=3,"已掌握",IF(F80&gt;=1,"进行中","新错词")))</f>
        <v/>
      </c>
    </row>
    <row r="81">
      <c r="A81" s="28" t="n">
        <v>80</v>
      </c>
      <c r="B81" s="29" t="n"/>
      <c r="C81" s="29" t="n"/>
      <c r="D81" s="29" t="n"/>
      <c r="E81" s="29" t="n"/>
      <c r="F81" s="29" t="n"/>
      <c r="G81" s="29">
        <f>IF(B81="","",IF(F81&gt;=3,"已掌握",IF(F81&gt;=1,"进行中","新错词")))</f>
        <v/>
      </c>
    </row>
    <row r="82">
      <c r="A82" s="28" t="n">
        <v>81</v>
      </c>
      <c r="B82" s="29" t="n"/>
      <c r="C82" s="29" t="n"/>
      <c r="D82" s="29" t="n"/>
      <c r="E82" s="29" t="n"/>
      <c r="F82" s="29" t="n"/>
      <c r="G82" s="29">
        <f>IF(B82="","",IF(F82&gt;=3,"已掌握",IF(F82&gt;=1,"进行中","新错词")))</f>
        <v/>
      </c>
    </row>
    <row r="83">
      <c r="A83" s="28" t="n">
        <v>82</v>
      </c>
      <c r="B83" s="29" t="n"/>
      <c r="C83" s="29" t="n"/>
      <c r="D83" s="29" t="n"/>
      <c r="E83" s="29" t="n"/>
      <c r="F83" s="29" t="n"/>
      <c r="G83" s="29">
        <f>IF(B83="","",IF(F83&gt;=3,"已掌握",IF(F83&gt;=1,"进行中","新错词")))</f>
        <v/>
      </c>
    </row>
    <row r="84">
      <c r="A84" s="28" t="n">
        <v>83</v>
      </c>
      <c r="B84" s="29" t="n"/>
      <c r="C84" s="29" t="n"/>
      <c r="D84" s="29" t="n"/>
      <c r="E84" s="29" t="n"/>
      <c r="F84" s="29" t="n"/>
      <c r="G84" s="29">
        <f>IF(B84="","",IF(F84&gt;=3,"已掌握",IF(F84&gt;=1,"进行中","新错词")))</f>
        <v/>
      </c>
    </row>
    <row r="85">
      <c r="A85" s="28" t="n">
        <v>84</v>
      </c>
      <c r="B85" s="29" t="n"/>
      <c r="C85" s="29" t="n"/>
      <c r="D85" s="29" t="n"/>
      <c r="E85" s="29" t="n"/>
      <c r="F85" s="29" t="n"/>
      <c r="G85" s="29">
        <f>IF(B85="","",IF(F85&gt;=3,"已掌握",IF(F85&gt;=1,"进行中","新错词")))</f>
        <v/>
      </c>
    </row>
    <row r="86">
      <c r="A86" s="28" t="n">
        <v>85</v>
      </c>
      <c r="B86" s="29" t="n"/>
      <c r="C86" s="29" t="n"/>
      <c r="D86" s="29" t="n"/>
      <c r="E86" s="29" t="n"/>
      <c r="F86" s="29" t="n"/>
      <c r="G86" s="29">
        <f>IF(B86="","",IF(F86&gt;=3,"已掌握",IF(F86&gt;=1,"进行中","新错词")))</f>
        <v/>
      </c>
    </row>
    <row r="87">
      <c r="A87" s="28" t="n">
        <v>86</v>
      </c>
      <c r="B87" s="29" t="n"/>
      <c r="C87" s="29" t="n"/>
      <c r="D87" s="29" t="n"/>
      <c r="E87" s="29" t="n"/>
      <c r="F87" s="29" t="n"/>
      <c r="G87" s="29">
        <f>IF(B87="","",IF(F87&gt;=3,"已掌握",IF(F87&gt;=1,"进行中","新错词")))</f>
        <v/>
      </c>
    </row>
    <row r="88">
      <c r="A88" s="28" t="n">
        <v>87</v>
      </c>
      <c r="B88" s="29" t="n"/>
      <c r="C88" s="29" t="n"/>
      <c r="D88" s="29" t="n"/>
      <c r="E88" s="29" t="n"/>
      <c r="F88" s="29" t="n"/>
      <c r="G88" s="29">
        <f>IF(B88="","",IF(F88&gt;=3,"已掌握",IF(F88&gt;=1,"进行中","新错词")))</f>
        <v/>
      </c>
    </row>
    <row r="89">
      <c r="A89" s="28" t="n">
        <v>88</v>
      </c>
      <c r="B89" s="29" t="n"/>
      <c r="C89" s="29" t="n"/>
      <c r="D89" s="29" t="n"/>
      <c r="E89" s="29" t="n"/>
      <c r="F89" s="29" t="n"/>
      <c r="G89" s="29">
        <f>IF(B89="","",IF(F89&gt;=3,"已掌握",IF(F89&gt;=1,"进行中","新错词")))</f>
        <v/>
      </c>
    </row>
    <row r="90">
      <c r="A90" s="28" t="n">
        <v>89</v>
      </c>
      <c r="B90" s="29" t="n"/>
      <c r="C90" s="29" t="n"/>
      <c r="D90" s="29" t="n"/>
      <c r="E90" s="29" t="n"/>
      <c r="F90" s="29" t="n"/>
      <c r="G90" s="29">
        <f>IF(B90="","",IF(F90&gt;=3,"已掌握",IF(F90&gt;=1,"进行中","新错词")))</f>
        <v/>
      </c>
    </row>
    <row r="91">
      <c r="A91" s="28" t="n">
        <v>90</v>
      </c>
      <c r="B91" s="29" t="n"/>
      <c r="C91" s="29" t="n"/>
      <c r="D91" s="29" t="n"/>
      <c r="E91" s="29" t="n"/>
      <c r="F91" s="29" t="n"/>
      <c r="G91" s="29">
        <f>IF(B91="","",IF(F91&gt;=3,"已掌握",IF(F91&gt;=1,"进行中","新错词")))</f>
        <v/>
      </c>
    </row>
    <row r="92">
      <c r="A92" s="28" t="n">
        <v>91</v>
      </c>
      <c r="B92" s="29" t="n"/>
      <c r="C92" s="29" t="n"/>
      <c r="D92" s="29" t="n"/>
      <c r="E92" s="29" t="n"/>
      <c r="F92" s="29" t="n"/>
      <c r="G92" s="29">
        <f>IF(B92="","",IF(F92&gt;=3,"已掌握",IF(F92&gt;=1,"进行中","新错词")))</f>
        <v/>
      </c>
    </row>
    <row r="93">
      <c r="A93" s="28" t="n">
        <v>92</v>
      </c>
      <c r="B93" s="29" t="n"/>
      <c r="C93" s="29" t="n"/>
      <c r="D93" s="29" t="n"/>
      <c r="E93" s="29" t="n"/>
      <c r="F93" s="29" t="n"/>
      <c r="G93" s="29">
        <f>IF(B93="","",IF(F93&gt;=3,"已掌握",IF(F93&gt;=1,"进行中","新错词")))</f>
        <v/>
      </c>
    </row>
    <row r="94">
      <c r="A94" s="28" t="n">
        <v>93</v>
      </c>
      <c r="B94" s="29" t="n"/>
      <c r="C94" s="29" t="n"/>
      <c r="D94" s="29" t="n"/>
      <c r="E94" s="29" t="n"/>
      <c r="F94" s="29" t="n"/>
      <c r="G94" s="29">
        <f>IF(B94="","",IF(F94&gt;=3,"已掌握",IF(F94&gt;=1,"进行中","新错词")))</f>
        <v/>
      </c>
    </row>
    <row r="95">
      <c r="A95" s="28" t="n">
        <v>94</v>
      </c>
      <c r="B95" s="29" t="n"/>
      <c r="C95" s="29" t="n"/>
      <c r="D95" s="29" t="n"/>
      <c r="E95" s="29" t="n"/>
      <c r="F95" s="29" t="n"/>
      <c r="G95" s="29">
        <f>IF(B95="","",IF(F95&gt;=3,"已掌握",IF(F95&gt;=1,"进行中","新错词")))</f>
        <v/>
      </c>
    </row>
    <row r="96">
      <c r="A96" s="28" t="n">
        <v>95</v>
      </c>
      <c r="B96" s="29" t="n"/>
      <c r="C96" s="29" t="n"/>
      <c r="D96" s="29" t="n"/>
      <c r="E96" s="29" t="n"/>
      <c r="F96" s="29" t="n"/>
      <c r="G96" s="29">
        <f>IF(B96="","",IF(F96&gt;=3,"已掌握",IF(F96&gt;=1,"进行中","新错词")))</f>
        <v/>
      </c>
    </row>
    <row r="97">
      <c r="A97" s="28" t="n">
        <v>96</v>
      </c>
      <c r="B97" s="29" t="n"/>
      <c r="C97" s="29" t="n"/>
      <c r="D97" s="29" t="n"/>
      <c r="E97" s="29" t="n"/>
      <c r="F97" s="29" t="n"/>
      <c r="G97" s="29">
        <f>IF(B97="","",IF(F97&gt;=3,"已掌握",IF(F97&gt;=1,"进行中","新错词")))</f>
        <v/>
      </c>
    </row>
    <row r="98">
      <c r="A98" s="28" t="n">
        <v>97</v>
      </c>
      <c r="B98" s="29" t="n"/>
      <c r="C98" s="29" t="n"/>
      <c r="D98" s="29" t="n"/>
      <c r="E98" s="29" t="n"/>
      <c r="F98" s="29" t="n"/>
      <c r="G98" s="29">
        <f>IF(B98="","",IF(F98&gt;=3,"已掌握",IF(F98&gt;=1,"进行中","新错词")))</f>
        <v/>
      </c>
    </row>
    <row r="99">
      <c r="A99" s="28" t="n">
        <v>98</v>
      </c>
      <c r="B99" s="29" t="n"/>
      <c r="C99" s="29" t="n"/>
      <c r="D99" s="29" t="n"/>
      <c r="E99" s="29" t="n"/>
      <c r="F99" s="29" t="n"/>
      <c r="G99" s="29">
        <f>IF(B99="","",IF(F99&gt;=3,"已掌握",IF(F99&gt;=1,"进行中","新错词")))</f>
        <v/>
      </c>
    </row>
    <row r="100">
      <c r="A100" s="28" t="n">
        <v>99</v>
      </c>
      <c r="B100" s="29" t="n"/>
      <c r="C100" s="29" t="n"/>
      <c r="D100" s="29" t="n"/>
      <c r="E100" s="29" t="n"/>
      <c r="F100" s="29" t="n"/>
      <c r="G100" s="29">
        <f>IF(B100="","",IF(F100&gt;=3,"已掌握",IF(F100&gt;=1,"进行中","新错词")))</f>
        <v/>
      </c>
    </row>
    <row r="101">
      <c r="A101" s="28" t="n">
        <v>100</v>
      </c>
      <c r="B101" s="29" t="n"/>
      <c r="C101" s="29" t="n"/>
      <c r="D101" s="29" t="n"/>
      <c r="E101" s="29" t="n"/>
      <c r="F101" s="29" t="n"/>
      <c r="G101" s="29">
        <f>IF(B101="","",IF(F101&gt;=3,"已掌握",IF(F101&gt;=1,"进行中","新错词")))</f>
        <v/>
      </c>
    </row>
    <row r="102">
      <c r="A102" s="28" t="n">
        <v>101</v>
      </c>
      <c r="B102" s="29" t="n"/>
      <c r="C102" s="29" t="n"/>
      <c r="D102" s="29" t="n"/>
      <c r="E102" s="29" t="n"/>
      <c r="F102" s="29" t="n"/>
      <c r="G102" s="29">
        <f>IF(B102="","",IF(F102&gt;=3,"已掌握",IF(F102&gt;=1,"进行中","新错词")))</f>
        <v/>
      </c>
    </row>
    <row r="103">
      <c r="A103" s="28" t="n">
        <v>102</v>
      </c>
      <c r="B103" s="29" t="n"/>
      <c r="C103" s="29" t="n"/>
      <c r="D103" s="29" t="n"/>
      <c r="E103" s="29" t="n"/>
      <c r="F103" s="29" t="n"/>
      <c r="G103" s="29">
        <f>IF(B103="","",IF(F103&gt;=3,"已掌握",IF(F103&gt;=1,"进行中","新错词")))</f>
        <v/>
      </c>
    </row>
    <row r="104">
      <c r="A104" s="28" t="n">
        <v>103</v>
      </c>
      <c r="B104" s="29" t="n"/>
      <c r="C104" s="29" t="n"/>
      <c r="D104" s="29" t="n"/>
      <c r="E104" s="29" t="n"/>
      <c r="F104" s="29" t="n"/>
      <c r="G104" s="29">
        <f>IF(B104="","",IF(F104&gt;=3,"已掌握",IF(F104&gt;=1,"进行中","新错词")))</f>
        <v/>
      </c>
    </row>
    <row r="105">
      <c r="A105" s="28" t="n">
        <v>104</v>
      </c>
      <c r="B105" s="29" t="n"/>
      <c r="C105" s="29" t="n"/>
      <c r="D105" s="29" t="n"/>
      <c r="E105" s="29" t="n"/>
      <c r="F105" s="29" t="n"/>
      <c r="G105" s="29">
        <f>IF(B105="","",IF(F105&gt;=3,"已掌握",IF(F105&gt;=1,"进行中","新错词")))</f>
        <v/>
      </c>
    </row>
    <row r="106">
      <c r="A106" s="28" t="n">
        <v>105</v>
      </c>
      <c r="B106" s="29" t="n"/>
      <c r="C106" s="29" t="n"/>
      <c r="D106" s="29" t="n"/>
      <c r="E106" s="29" t="n"/>
      <c r="F106" s="29" t="n"/>
      <c r="G106" s="29">
        <f>IF(B106="","",IF(F106&gt;=3,"已掌握",IF(F106&gt;=1,"进行中","新错词")))</f>
        <v/>
      </c>
    </row>
    <row r="107">
      <c r="A107" s="28" t="n">
        <v>106</v>
      </c>
      <c r="B107" s="29" t="n"/>
      <c r="C107" s="29" t="n"/>
      <c r="D107" s="29" t="n"/>
      <c r="E107" s="29" t="n"/>
      <c r="F107" s="29" t="n"/>
      <c r="G107" s="29">
        <f>IF(B107="","",IF(F107&gt;=3,"已掌握",IF(F107&gt;=1,"进行中","新错词")))</f>
        <v/>
      </c>
    </row>
    <row r="108">
      <c r="A108" s="28" t="n">
        <v>107</v>
      </c>
      <c r="B108" s="29" t="n"/>
      <c r="C108" s="29" t="n"/>
      <c r="D108" s="29" t="n"/>
      <c r="E108" s="29" t="n"/>
      <c r="F108" s="29" t="n"/>
      <c r="G108" s="29">
        <f>IF(B108="","",IF(F108&gt;=3,"已掌握",IF(F108&gt;=1,"进行中","新错词")))</f>
        <v/>
      </c>
    </row>
    <row r="109">
      <c r="A109" s="28" t="n">
        <v>108</v>
      </c>
      <c r="B109" s="29" t="n"/>
      <c r="C109" s="29" t="n"/>
      <c r="D109" s="29" t="n"/>
      <c r="E109" s="29" t="n"/>
      <c r="F109" s="29" t="n"/>
      <c r="G109" s="29">
        <f>IF(B109="","",IF(F109&gt;=3,"已掌握",IF(F109&gt;=1,"进行中","新错词")))</f>
        <v/>
      </c>
    </row>
    <row r="110">
      <c r="A110" s="28" t="n">
        <v>109</v>
      </c>
      <c r="B110" s="29" t="n"/>
      <c r="C110" s="29" t="n"/>
      <c r="D110" s="29" t="n"/>
      <c r="E110" s="29" t="n"/>
      <c r="F110" s="29" t="n"/>
      <c r="G110" s="29">
        <f>IF(B110="","",IF(F110&gt;=3,"已掌握",IF(F110&gt;=1,"进行中","新错词")))</f>
        <v/>
      </c>
    </row>
    <row r="111">
      <c r="A111" s="28" t="n">
        <v>110</v>
      </c>
      <c r="B111" s="29" t="n"/>
      <c r="C111" s="29" t="n"/>
      <c r="D111" s="29" t="n"/>
      <c r="E111" s="29" t="n"/>
      <c r="F111" s="29" t="n"/>
      <c r="G111" s="29">
        <f>IF(B111="","",IF(F111&gt;=3,"已掌握",IF(F111&gt;=1,"进行中","新错词")))</f>
        <v/>
      </c>
    </row>
    <row r="112">
      <c r="A112" s="28" t="n">
        <v>111</v>
      </c>
      <c r="B112" s="29" t="n"/>
      <c r="C112" s="29" t="n"/>
      <c r="D112" s="29" t="n"/>
      <c r="E112" s="29" t="n"/>
      <c r="F112" s="29" t="n"/>
      <c r="G112" s="29">
        <f>IF(B112="","",IF(F112&gt;=3,"已掌握",IF(F112&gt;=1,"进行中","新错词")))</f>
        <v/>
      </c>
    </row>
    <row r="113">
      <c r="A113" s="28" t="n">
        <v>112</v>
      </c>
      <c r="B113" s="29" t="n"/>
      <c r="C113" s="29" t="n"/>
      <c r="D113" s="29" t="n"/>
      <c r="E113" s="29" t="n"/>
      <c r="F113" s="29" t="n"/>
      <c r="G113" s="29">
        <f>IF(B113="","",IF(F113&gt;=3,"已掌握",IF(F113&gt;=1,"进行中","新错词")))</f>
        <v/>
      </c>
    </row>
    <row r="114">
      <c r="A114" s="28" t="n">
        <v>113</v>
      </c>
      <c r="B114" s="29" t="n"/>
      <c r="C114" s="29" t="n"/>
      <c r="D114" s="29" t="n"/>
      <c r="E114" s="29" t="n"/>
      <c r="F114" s="29" t="n"/>
      <c r="G114" s="29">
        <f>IF(B114="","",IF(F114&gt;=3,"已掌握",IF(F114&gt;=1,"进行中","新错词")))</f>
        <v/>
      </c>
    </row>
    <row r="115">
      <c r="A115" s="28" t="n">
        <v>114</v>
      </c>
      <c r="B115" s="29" t="n"/>
      <c r="C115" s="29" t="n"/>
      <c r="D115" s="29" t="n"/>
      <c r="E115" s="29" t="n"/>
      <c r="F115" s="29" t="n"/>
      <c r="G115" s="29">
        <f>IF(B115="","",IF(F115&gt;=3,"已掌握",IF(F115&gt;=1,"进行中","新错词")))</f>
        <v/>
      </c>
    </row>
    <row r="116">
      <c r="A116" s="28" t="n">
        <v>115</v>
      </c>
      <c r="B116" s="29" t="n"/>
      <c r="C116" s="29" t="n"/>
      <c r="D116" s="29" t="n"/>
      <c r="E116" s="29" t="n"/>
      <c r="F116" s="29" t="n"/>
      <c r="G116" s="29">
        <f>IF(B116="","",IF(F116&gt;=3,"已掌握",IF(F116&gt;=1,"进行中","新错词")))</f>
        <v/>
      </c>
    </row>
    <row r="117">
      <c r="A117" s="28" t="n">
        <v>116</v>
      </c>
      <c r="B117" s="29" t="n"/>
      <c r="C117" s="29" t="n"/>
      <c r="D117" s="29" t="n"/>
      <c r="E117" s="29" t="n"/>
      <c r="F117" s="29" t="n"/>
      <c r="G117" s="29">
        <f>IF(B117="","",IF(F117&gt;=3,"已掌握",IF(F117&gt;=1,"进行中","新错词")))</f>
        <v/>
      </c>
    </row>
    <row r="118">
      <c r="A118" s="28" t="n">
        <v>117</v>
      </c>
      <c r="B118" s="29" t="n"/>
      <c r="C118" s="29" t="n"/>
      <c r="D118" s="29" t="n"/>
      <c r="E118" s="29" t="n"/>
      <c r="F118" s="29" t="n"/>
      <c r="G118" s="29">
        <f>IF(B118="","",IF(F118&gt;=3,"已掌握",IF(F118&gt;=1,"进行中","新错词")))</f>
        <v/>
      </c>
    </row>
    <row r="119">
      <c r="A119" s="28" t="n">
        <v>118</v>
      </c>
      <c r="B119" s="29" t="n"/>
      <c r="C119" s="29" t="n"/>
      <c r="D119" s="29" t="n"/>
      <c r="E119" s="29" t="n"/>
      <c r="F119" s="29" t="n"/>
      <c r="G119" s="29">
        <f>IF(B119="","",IF(F119&gt;=3,"已掌握",IF(F119&gt;=1,"进行中","新错词")))</f>
        <v/>
      </c>
    </row>
    <row r="120">
      <c r="A120" s="28" t="n">
        <v>119</v>
      </c>
      <c r="B120" s="29" t="n"/>
      <c r="C120" s="29" t="n"/>
      <c r="D120" s="29" t="n"/>
      <c r="E120" s="29" t="n"/>
      <c r="F120" s="29" t="n"/>
      <c r="G120" s="29">
        <f>IF(B120="","",IF(F120&gt;=3,"已掌握",IF(F120&gt;=1,"进行中","新错词")))</f>
        <v/>
      </c>
    </row>
    <row r="121">
      <c r="A121" s="28" t="n">
        <v>120</v>
      </c>
      <c r="B121" s="29" t="n"/>
      <c r="C121" s="29" t="n"/>
      <c r="D121" s="29" t="n"/>
      <c r="E121" s="29" t="n"/>
      <c r="F121" s="29" t="n"/>
      <c r="G121" s="29">
        <f>IF(B121="","",IF(F121&gt;=3,"已掌握",IF(F121&gt;=1,"进行中","新错词")))</f>
        <v/>
      </c>
    </row>
  </sheetData>
  <autoFilter ref="A1:G121"/>
  <conditionalFormatting sqref="G2:G121">
    <cfRule type="cellIs" priority="1" operator="equal" dxfId="2">
      <formula>"已掌握"</formula>
    </cfRule>
    <cfRule type="cellIs" priority="2" operator="equal" dxfId="1">
      <formula>"进行中"</formula>
    </cfRule>
    <cfRule type="cellIs" priority="3" operator="equal" dxfId="0">
      <formula>"新错词"</formula>
    </cfRule>
  </conditionalFormatting>
  <dataValidations count="1">
    <dataValidation sqref="F2:F121" showDropDown="0" showInputMessage="0" showErrorMessage="0" allowBlank="1" type="whole" operator="between">
      <formula1>0</formula1>
      <formula2>9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30" customWidth="1" min="3" max="3"/>
    <col width="22" customWidth="1" min="4" max="4"/>
    <col width="9" customWidth="1" min="5" max="5"/>
    <col width="20" customWidth="1" min="6" max="6"/>
  </cols>
  <sheetData>
    <row r="1">
      <c r="A1" s="30" t="inlineStr">
        <is>
          <t>周次</t>
        </is>
      </c>
      <c r="B1" s="30" t="inlineStr">
        <is>
          <t>日期</t>
        </is>
      </c>
      <c r="C1" s="30" t="inlineStr">
        <is>
          <t>主线</t>
        </is>
      </c>
      <c r="D1" s="30" t="inlineStr">
        <is>
          <t>手册章节</t>
        </is>
      </c>
      <c r="E1" s="30" t="inlineStr">
        <is>
          <t>词量</t>
        </is>
      </c>
      <c r="F1" s="30" t="inlineStr">
        <is>
          <t>周末动作</t>
        </is>
      </c>
    </row>
    <row r="2">
      <c r="A2" s="15" t="inlineStr">
        <is>
          <t>第1周</t>
        </is>
      </c>
      <c r="B2" s="15" t="inlineStr">
        <is>
          <t>10-23 — 10-29</t>
        </is>
      </c>
      <c r="C2" s="16" t="inlineStr">
        <is>
          <t>建画面（轻松场景）</t>
        </is>
      </c>
      <c r="D2" s="16" t="inlineStr">
        <is>
          <t>13、1、2、10、5</t>
        </is>
      </c>
      <c r="E2" s="15" t="n">
        <v>362</v>
      </c>
      <c r="F2" s="16" t="inlineStr">
        <is>
          <t>周测 + 补漏</t>
        </is>
      </c>
    </row>
    <row r="3">
      <c r="A3" s="21" t="inlineStr">
        <is>
          <t>第2周</t>
        </is>
      </c>
      <c r="B3" s="21" t="inlineStr">
        <is>
          <t>10-30 — 11-05</t>
        </is>
      </c>
      <c r="C3" s="22" t="inlineStr">
        <is>
          <t>建画面（抽象场景）</t>
        </is>
      </c>
      <c r="D3" s="22" t="inlineStr">
        <is>
          <t>6、9、3、4、8</t>
        </is>
      </c>
      <c r="E3" s="21" t="n">
        <v>404</v>
      </c>
      <c r="F3" s="22" t="inlineStr">
        <is>
          <t>周测 + 补漏</t>
        </is>
      </c>
    </row>
    <row r="4">
      <c r="A4" s="15" t="inlineStr">
        <is>
          <t>第3周</t>
        </is>
      </c>
      <c r="B4" s="15" t="inlineStr">
        <is>
          <t>11-06 — 11-12</t>
        </is>
      </c>
      <c r="C4" s="16" t="inlineStr">
        <is>
          <t>建画面（社会类）</t>
        </is>
      </c>
      <c r="D4" s="16" t="inlineStr">
        <is>
          <t>7、11、12、16、14</t>
        </is>
      </c>
      <c r="E4" s="15" t="n">
        <v>424</v>
      </c>
      <c r="F4" s="16" t="inlineStr">
        <is>
          <t>周测 + 补漏</t>
        </is>
      </c>
    </row>
    <row r="5">
      <c r="A5" s="21" t="inlineStr">
        <is>
          <t>第4周</t>
        </is>
      </c>
      <c r="B5" s="21" t="inlineStr">
        <is>
          <t>11-13 — 11-19</t>
        </is>
      </c>
      <c r="C5" s="22" t="inlineStr">
        <is>
          <t>缓冲：动词 + 总测 + 词根启动</t>
        </is>
      </c>
      <c r="D5" s="22" t="inlineStr">
        <is>
          <t>15、17</t>
        </is>
      </c>
      <c r="E5" s="21" t="n">
        <v>181</v>
      </c>
      <c r="F5" s="22" t="inlineStr">
        <is>
          <t>第一轮总测</t>
        </is>
      </c>
    </row>
    <row r="6">
      <c r="A6" s="15" t="inlineStr">
        <is>
          <t>第5周</t>
        </is>
      </c>
      <c r="B6" s="15" t="inlineStr">
        <is>
          <t>11-20 — 11-26</t>
        </is>
      </c>
      <c r="C6" s="16" t="inlineStr">
        <is>
          <t>词根收尾 + 排雷开始</t>
        </is>
      </c>
      <c r="D6" s="16" t="inlineStr">
        <is>
          <t>17、18、19</t>
        </is>
      </c>
      <c r="E6" s="15" t="n">
        <v>208</v>
      </c>
      <c r="F6" s="16" t="inlineStr">
        <is>
          <t>词根反查</t>
        </is>
      </c>
    </row>
    <row r="7">
      <c r="A7" s="21" t="inlineStr">
        <is>
          <t>第6周</t>
        </is>
      </c>
      <c r="B7" s="21" t="inlineStr">
        <is>
          <t>11-27 — 12-03</t>
        </is>
      </c>
      <c r="C7" s="22" t="inlineStr">
        <is>
          <t>排雷 + 词组成块</t>
        </is>
      </c>
      <c r="D7" s="22" t="inlineStr">
        <is>
          <t>19、20、21</t>
        </is>
      </c>
      <c r="E7" s="21" t="n">
        <v>223</v>
      </c>
      <c r="F7" s="22" t="inlineStr">
        <is>
          <t>模考一</t>
        </is>
      </c>
    </row>
    <row r="8">
      <c r="A8" s="15" t="inlineStr">
        <is>
          <t>第7周</t>
        </is>
      </c>
      <c r="B8" s="15" t="inlineStr">
        <is>
          <t>12-04 — 12-10</t>
        </is>
      </c>
      <c r="C8" s="16" t="inlineStr">
        <is>
          <t>写作输出 + 真题 + 冲刺</t>
        </is>
      </c>
      <c r="D8" s="16" t="inlineStr">
        <is>
          <t>附录 A、错词本</t>
        </is>
      </c>
      <c r="E8" s="15" t="n">
        <v>0</v>
      </c>
      <c r="F8" s="16" t="inlineStr">
        <is>
          <t>模考二、模考三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四级词汇 7 周复习打卡表</dc:title>
  <dcterms:created xmlns:dcterms="http://purl.org/dc/terms/" xmlns:xsi="http://www.w3.org/2001/XMLSchema-instance" xsi:type="dcterms:W3CDTF">2026-10-22T14:43:58Z</dcterms:created>
  <dcterms:modified xmlns:dcterms="http://purl.org/dc/terms/" xmlns:xsi="http://www.w3.org/2001/XMLSchema-instance" xsi:type="dcterms:W3CDTF">2026-10-22T14:43:58Z</dcterms:modified>
</cp:coreProperties>
</file>